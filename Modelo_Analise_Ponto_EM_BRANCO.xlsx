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1_Ponto_Batido" sheetId="3" state="visible" r:id="rId5"/>
    <sheet name="2_Analise" sheetId="4" state="visible" r:id="rId6"/>
    <sheet name="3_Ponto_Ajustado" sheetId="5" state="visible" r:id="rId7"/>
  </sheets>
  <definedNames>
    <definedName function="false" hidden="false" localSheetId="2" name="_xlnm.Print_Area" vbProcedure="false">1_Ponto_Batido!$A$1:$K$43</definedName>
    <definedName function="false" hidden="false" localSheetId="2" name="_xlnm.Print_Titles" vbProcedure="false">1_Ponto_Batido!$9:$10</definedName>
    <definedName function="false" hidden="false" localSheetId="3" name="_xlnm.Print_Area" vbProcedure="false">2_Analise!$A$1:$Z$53</definedName>
    <definedName function="false" hidden="false" localSheetId="3" name="_xlnm.Print_Titles" vbProcedure="false">2_Analise!$5:$6</definedName>
    <definedName function="false" hidden="false" localSheetId="4" name="_xlnm.Print_Area" vbProcedure="false">3_Ponto_Ajustado!$A$1:$N$45</definedName>
    <definedName function="false" hidden="false" localSheetId="4" name="_xlnm.Print_Titles" vbProcedure="false">3_Ponto_Ajustado!$9:$10</definedName>
    <definedName function="false" hidden="false" localSheetId="0" name="_xlnm.Print_Area" vbProcedure="false">'LEIA-ME'!$A$1:$B$23</definedName>
    <definedName function="false" hidden="false" localSheetId="1" name="_xlnm.Print_Area" vbProcedure="false">Parametros!$A$1:$F$50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<sst xmlns="http://schemas.openxmlformats.org/spreadsheetml/2006/main" count="181" uniqueCount="155">
  <si>
    <t xml:space="preserve">ANÁLISE DE FOLHA DE PONTO: HORAS EXTRAS, DESCONTOS E COMPENSAÇÃO</t>
  </si>
  <si>
    <t xml:space="preserve">PARA QUE SERVE</t>
  </si>
  <si>
    <t xml:space="preserve">Transcreva o ponto batido pelo funcionário e a planilha calcula: o horário a cumprir, as horas extras reais, os descontos prováveis e como distribuir as horas extras que passam do limite diário (por padrão 2h/dia). No fim, monta a folha de ponto ajustada, com a explicação de cada linha.</t>
  </si>
  <si>
    <t xml:space="preserve">COMO USAR (5 PASSOS)</t>
  </si>
  <si>
    <t xml:space="preserve">1) Aba "Parametros": digite os dados do cabeçalho da folha de ponto, o 1º dia do mês, o limite de hora extra por dia, o horário padrão e os feriados.</t>
  </si>
  <si>
    <t xml:space="preserve">2) Aba "1_Ponto_Batido": copie, dia a dia, os horários escritos na folha de papel (entrada, parada, retorno, saída, extras). Anote rasuras na coluna de observações.</t>
  </si>
  <si>
    <t xml:space="preserve">3) Aba "2_Analise": preencha SÓ as exceções nas 3 colunas amarelas: situação (folga no meio da semana, falta, dia ainda não ocorrido = PREVISTO), liberação antecipada (hora em que a diretoria liberou o setor) e saída real informada (quando a pessoa ficou além do que está no papel).</t>
  </si>
  <si>
    <t xml:space="preserve">4) Ainda na aba 2, olhe a coluna ALERTA e o quadro RESUMO E CONFERÊNCIA (embaixo). As duas conferências devem mostrar OK.</t>
  </si>
  <si>
    <t xml:space="preserve">5) Aba "3_Ponto_Ajustado": é a folha pronta para imprimir, com a explicação de cada dia. Para outro funcionário ou outro mês, salve uma cópia do arquivo, altere os Parâmetros e redigite a aba 1 e as exceções da aba 2.</t>
  </si>
  <si>
    <t xml:space="preserve">REGRAS USADAS NO CÁLCULO</t>
  </si>
  <si>
    <t xml:space="preserve">• Horas exigidas = (saída prevista − entrada prevista) − intervalo. Normalmente 8h (08:00–12:00 e 13:00–17:00). Em dia de liberação antecipada, a saída prevista passa a ser a hora da liberação (ex.: 05/10 às 14:22 = 5h22 exigidas).</t>
  </si>
  <si>
    <t xml:space="preserve">• Horas trabalhadas = (saída real − entrada real) − intervalo. Hora extra real = trabalhadas − exigidas. Desconto provável = exigidas − trabalhadas (ou o dia inteiro, se FALTA).</t>
  </si>
  <si>
    <t xml:space="preserve">• Limite diário: na folha ajustada nenhum dia mostra mais que o limite (2h) de extras. O que passa do limite é o EXCEDENTE A COMPENSAR.</t>
  </si>
  <si>
    <t xml:space="preserve">• Dia de liberação antecipada: por padrão a folha ajustada mostra a saída da liberação e TODO o extra desse dia vai para compensação (como no exemplo de 05/10 e 07/10). Mude em Parâmetros se preferir lançar até o limite no próprio dia.</t>
  </si>
  <si>
    <t xml:space="preserve">• Compensação: o excedente é lançado nos dias seguintes que podem receber (dia de trabalho, sem liberação antecipada, sem desconto), preenchendo o espaço livre de cada dia (limite − extra do dia), em ordem de data, até acabar. Se sobrar, vira SALDO A COMPENSAR no mês seguinte. O total de extras da folha ajustada é igual ao total real.</t>
  </si>
  <si>
    <t xml:space="preserve">• Situação do dia (automática, se a coluna C ficar em branco): tem ponto batido = TRABALHO; feriado cadastrado = FERIADO; sábado/domingo sem ponto = FOLGA; demais dias úteis = PREVISTO (conta como horário normal e pode receber compensação). Falta ou folga no meio da semana: informe na coluna C.</t>
  </si>
  <si>
    <t xml:space="preserve">• Sem tolerância de minutos e sem adicional noturno/dominical: cálculo puro de horas. Todo horário é arredondado ao minuto.</t>
  </si>
  <si>
    <t xml:space="preserve">LEGENDA</t>
  </si>
  <si>
    <t xml:space="preserve">Amarelo com letra azul = você digita.  Branco = fórmula (não digitar).  Vermelho = fim de semana, folga ou feriado.  Verde = extra do dia.  Azul = compensação.  Laranja = desconto provável.</t>
  </si>
  <si>
    <t xml:space="preserve">ATENÇÃO</t>
  </si>
  <si>
    <t xml:space="preserve">A folha ajustada é um documento de conferência e de fechamento da folha de pagamento: as linhas de COMPENSAÇÃO são horas feitas em OUTRAS datas, lançadas ali para respeitar o limite diário. Guarde sempre a folha original (aba 1). A regra de compensação (pagamento, folga, banco de horas) segue a política da organização, o contrato e a convenção coletiva: confirme com o RH/jurídico (CLT art. 59: limite de 2h extras por dia; art. 74: registro de ponto).</t>
  </si>
  <si>
    <t xml:space="preserve">PARÂMETROS E DADOS DO CABEÇALHO DA FOLHA DE PONTO</t>
  </si>
  <si>
    <t xml:space="preserve">Células amarelas com letra azul = você informa. Todo o resto é calculado.</t>
  </si>
  <si>
    <t xml:space="preserve">DADOS DO CABEÇALHO (copie da folha de ponto)</t>
  </si>
  <si>
    <t xml:space="preserve">EMPREGADOR (nome / empresa)</t>
  </si>
  <si>
    <t xml:space="preserve">CEI / CNPJ nº</t>
  </si>
  <si>
    <t xml:space="preserve">ENDEREÇO</t>
  </si>
  <si>
    <t xml:space="preserve">EMPREGADO(A)</t>
  </si>
  <si>
    <t xml:space="preserve">FUNÇÃO</t>
  </si>
  <si>
    <t xml:space="preserve">CTPS nº e série</t>
  </si>
  <si>
    <t xml:space="preserve">DATA DE ADMISSÃO</t>
  </si>
  <si>
    <t xml:space="preserve">HORÁRIO DE TRABALHO SEG. A SEXTA-FEIRA</t>
  </si>
  <si>
    <t xml:space="preserve">HORÁRIO AOS SÁBADOS</t>
  </si>
  <si>
    <t xml:space="preserve">DESCANSO SEMANAL</t>
  </si>
  <si>
    <t xml:space="preserve">MÊS DE REFERÊNCIA (digite o 1º dia do mês)</t>
  </si>
  <si>
    <t xml:space="preserve">MÊS (automático)</t>
  </si>
  <si>
    <t xml:space="preserve">ANO (automático)</t>
  </si>
  <si>
    <t xml:space="preserve">REGRAS DE CÁLCULO</t>
  </si>
  <si>
    <t xml:space="preserve">LIMITE DE HORAS EXTRAS POR DIA</t>
  </si>
  <si>
    <t xml:space="preserve">Máximo de hora extra que pode aparecer em um mesmo dia na folha ajustada.</t>
  </si>
  <si>
    <t xml:space="preserve">EM DIA DE LIBERAÇÃO ANTECIPADA, LANÇAR EXTRA NO PRÓPRIO DIA?</t>
  </si>
  <si>
    <t xml:space="preserve">NÃO</t>
  </si>
  <si>
    <t xml:space="preserve">NÃO = a folha ajustada mostra a saída da liberação e todo o extra vai para compensação em outros dias (como no exemplo).</t>
  </si>
  <si>
    <t xml:space="preserve">HORÁRIO A CUMPRIR (padrão de cada dia da semana)</t>
  </si>
  <si>
    <t xml:space="preserve">Vale para qualquer dia que tenha ponto batido ou seja dia de trabalho previsto. Deixe em branco o dia sem expediente. No exemplo, sábado e domingo trabalhados foram tratados como expediente normal de 8h.</t>
  </si>
  <si>
    <t xml:space="preserve">DIA DA SEMANA</t>
  </si>
  <si>
    <t xml:space="preserve">ENTRADA</t>
  </si>
  <si>
    <t xml:space="preserve">PARADA (almoço)</t>
  </si>
  <si>
    <t xml:space="preserve">RETORNO</t>
  </si>
  <si>
    <t xml:space="preserve">SAÍDA</t>
  </si>
  <si>
    <t xml:space="preserve">HORAS EXIGIDAS</t>
  </si>
  <si>
    <t xml:space="preserve">Segunda-feira</t>
  </si>
  <si>
    <t xml:space="preserve">Terça-feira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</si>
  <si>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</si>
  <si>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</si>
  <si>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</si>
  <si>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</si>
  <si>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Domingo</t>
  </si>
  <si>
    <t xml:space="preserve">FERIADOS (inclua também os estaduais, municipais e pontos facultativos da sua organização)</t>
  </si>
  <si>
    <t xml:space="preserve">DATA</t>
  </si>
  <si>
    <t xml:space="preserve">NOME DO FERIADO</t>
  </si>
  <si>
    <t xml:space="preserve">Confraternização Universal</t>
  </si>
  <si>
    <t xml:space="preserve">Sexta-feira Santa</t>
  </si>
  <si>
    <t xml:space="preserve">Tiradentes</t>
  </si>
  <si>
    <t xml:space="preserve">Dia do Trabalho</t>
  </si>
  <si>
    <t xml:space="preserve">Independência do Brasil</t>
  </si>
  <si>
    <t xml:space="preserve">Nossa Senhora Aparecida</t>
  </si>
  <si>
    <t xml:space="preserve">Finados</t>
  </si>
  <si>
    <t xml:space="preserve">Proclamação da República</t>
  </si>
  <si>
    <t xml:space="preserve">Consciência Negra</t>
  </si>
  <si>
    <t xml:space="preserve">Natal</t>
  </si>
  <si>
    <t xml:space="preserve">1 – PONTO BATIDO PELO FUNCIONÁRIO (transcrição da folha de ponto física)</t>
  </si>
  <si>
    <t xml:space="preserve">Digite nas células amarelas exatamente o que está escrito na folha de papel (horas no formato 8:00). Informe rasuras e dúvidas na coluna de observações.</t>
  </si>
  <si>
    <t xml:space="preserve">DIA</t>
  </si>
  <si>
    <t xml:space="preserve">INTERVALO</t>
  </si>
  <si>
    <t xml:space="preserve">EXTRAS</t>
  </si>
  <si>
    <t xml:space="preserve">VISTO DO RESP. HORA EXTRA</t>
  </si>
  <si>
    <t xml:space="preserve">ASSINATURA DO FUNCIONÁRIO</t>
  </si>
  <si>
    <t xml:space="preserve">OBSERVAÇÕES (rasuras, dúvidas, origem do dado)</t>
  </si>
  <si>
    <t xml:space="preserve">PARADA</t>
  </si>
  <si>
    <t xml:space="preserve">Rubrica/assinatura: coluna para conferência na folha impressa. As colunas de horário aceitam digitação como 8:00 ou 14:22.</t>
  </si>
  <si>
    <t xml:space="preserve">2 – ANÁLISE: HORÁRIO A CUMPRIR × PONTO BATIDO (HORAS EXTRAS, DESCONTOS E COMPENSAÇÃO)</t>
  </si>
  <si>
    <t xml:space="preserve">Células amarelas = informe só se precisar (exceções). Células brancas = fórmulas (não digite). A linha 7 explica como cada coluna é calculada.</t>
  </si>
  <si>
    <t xml:space="preserve">INFORMAÇÕES DO DIA (preencha só o que for exceção)</t>
  </si>
  <si>
    <t xml:space="preserve">HORÁRIO A CUMPRIR (para análise)</t>
  </si>
  <si>
    <t xml:space="preserve">PONTO BATIDO (vem da aba 1)</t>
  </si>
  <si>
    <t xml:space="preserve">ANÁLISE DO DIA: HORAS EXTRAS E DESCONTOS</t>
  </si>
  <si>
    <t xml:space="preserve">COMPENSAÇÃO (limite de hora extra por dia)</t>
  </si>
  <si>
    <t xml:space="preserve">RESULTADO PARA A FOLHA AJUSTADA</t>
  </si>
  <si>
    <t xml:space="preserve">SITUAÇÃO (só se for diferente)</t>
  </si>
  <si>
    <t xml:space="preserve">LIBERAÇÃO ANTECIPADA ÀS</t>
  </si>
  <si>
    <t xml:space="preserve">SAÍDA REAL INFORMADA</t>
  </si>
  <si>
    <t xml:space="preserve">SITUAÇÃO CONSIDERADA</t>
  </si>
  <si>
    <t xml:space="preserve">ENTRADA PREVISTA</t>
  </si>
  <si>
    <t xml:space="preserve">PARADA PREVISTA</t>
  </si>
  <si>
    <t xml:space="preserve">RETORNO PREVISTO</t>
  </si>
  <si>
    <t xml:space="preserve">SAÍDA PREVISTA</t>
  </si>
  <si>
    <t xml:space="preserve">ENTRADA REAL</t>
  </si>
  <si>
    <t xml:space="preserve">INTERVALO REAL</t>
  </si>
  <si>
    <t xml:space="preserve">SAÍDA REAL CONSIDERADA</t>
  </si>
  <si>
    <t xml:space="preserve">HORAS TRABALHADAS</t>
  </si>
  <si>
    <t xml:space="preserve">ALERTA</t>
  </si>
  <si>
    <t xml:space="preserve">HORA EXTRA REAL</t>
  </si>
  <si>
    <t xml:space="preserve">DESCONTO PROVÁVEL</t>
  </si>
  <si>
    <t xml:space="preserve">EXTRA LANÇADA NO DIA</t>
  </si>
  <si>
    <t xml:space="preserve">EXCEDENTE A COMPENSAR</t>
  </si>
  <si>
    <t xml:space="preserve">RECEBE COMPENSAÇÃO?</t>
  </si>
  <si>
    <t xml:space="preserve">ESPAÇO LIVRE NO DIA</t>
  </si>
  <si>
    <t xml:space="preserve">SALDO A COMPENSAR ANTES DO DIA</t>
  </si>
  <si>
    <t xml:space="preserve">COMPENSAÇÃO LANÇADA NO DIA</t>
  </si>
  <si>
    <t xml:space="preserve">EXTRAS NA FOLHA AJUSTADA</t>
  </si>
  <si>
    <t xml:space="preserve">SALDO A COMPENSAR APÓS O DIA</t>
  </si>
  <si>
    <t xml:space="preserve">Informe: TRABALHO, PREVISTO, FOLGA, FERIADO ou FALTA. Em branco = automático.</t>
  </si>
  <si>
    <t xml:space="preserve">Hora em que a diretoria liberou o setor mais cedo.</t>
  </si>
  <si>
    <t xml:space="preserve">Só se a pessoa ficou além do que está no papel (ex.: ficou até 17:00).</t>
  </si>
  <si>
    <t xml:space="preserve">C, ou automático: tem ponto = TRABALHO; feriado; fim de semana = FOLGA; senão PREVISTO.</t>
  </si>
  <si>
    <t xml:space="preserve">Da tabela de horários (Parâmetros).</t>
  </si>
  <si>
    <t xml:space="preserve">Da tabela de horários.</t>
  </si>
  <si>
    <t xml:space="preserve">Tabela de horários ou a liberação antecipada (D).</t>
  </si>
  <si>
    <t xml:space="preserve">(Saída − Entrada) − intervalo. Sem intervalo se a saída é antes do almoço.</t>
  </si>
  <si>
    <t xml:space="preserve">Entrada batida (aba 1).</t>
  </si>
  <si>
    <t xml:space="preserve">Retorno − Parada batidos; sem eles, usa o intervalo previsto se saiu depois do almoço.</t>
  </si>
  <si>
    <t xml:space="preserve">Saída real informada (E) ou a maior entre Saída e Extras-Saída do papel.</t>
  </si>
  <si>
    <t xml:space="preserve">(Saída real − Entrada real) − intervalo real. Dia PREVISTO = horas exigidas.</t>
  </si>
  <si>
    <t xml:space="preserve">Avisa ponto incompleto.</t>
  </si>
  <si>
    <t xml:space="preserve">Trabalhadas − exigidas, se positivo.</t>
  </si>
  <si>
    <t xml:space="preserve">Exigidas − trabalhadas, se positivo (ou falta).</t>
  </si>
  <si>
    <t xml:space="preserve">Menor entre a hora extra real e o limite/dia (zero em liberação antecipada, conforme Parâmetros).</t>
  </si>
  <si>
    <t xml:space="preserve">Hora extra real − extra lançada no dia.</t>
  </si>
  <si>
    <t xml:space="preserve">SIM: dia de trabalho sem liberação antecipada, sem desconto e sem alerta.</t>
  </si>
  <si>
    <t xml:space="preserve">Limite/dia − extra já lançada no dia (só se recebe).</t>
  </si>
  <si>
    <t xml:space="preserve">Soma dos excedentes dos dias anteriores − compensações já lançadas.</t>
  </si>
  <si>
    <t xml:space="preserve">Menor entre o espaço livre e o saldo a compensar.</t>
  </si>
  <si>
    <t xml:space="preserve">Extra lançada no dia + compensação lançada.</t>
  </si>
  <si>
    <t xml:space="preserve">Saldo antes + excedente do dia − compensação do dia.</t>
  </si>
  <si>
    <t xml:space="preserve">TOTAIS</t>
  </si>
  <si>
    <t xml:space="preserve">RESUMO E CONFERÊNCIA</t>
  </si>
  <si>
    <t xml:space="preserve">Horas extras reais (acima do horário a cumprir)</t>
  </si>
  <si>
    <t xml:space="preserve">   lançadas no próprio dia (até o limite diário)</t>
  </si>
  <si>
    <t xml:space="preserve">   excedente que precisa ser compensado em outros dias</t>
  </si>
  <si>
    <t xml:space="preserve">Compensação lançada em outros dias (folha ajustada)</t>
  </si>
  <si>
    <t xml:space="preserve">Saldo ainda NÃO compensado (passa para o mês seguinte)</t>
  </si>
  <si>
    <t xml:space="preserve">Total de horas extras na folha ajustada</t>
  </si>
  <si>
    <t xml:space="preserve">Descontos prováveis (horas a menos / faltas)</t>
  </si>
  <si>
    <t xml:space="preserve">Saldo líquido do mês (extras reais − descontos)</t>
  </si>
  <si>
    <t xml:space="preserve">CONFERÊNCIA: extras reais = lançadas + saldo ainda não compensado</t>
  </si>
  <si>
    <t xml:space="preserve">CONFERÊNCIA: nenhum dia acima do limite diário</t>
  </si>
  <si>
    <t xml:space="preserve">Dias com ponto incompleto (alerta)</t>
  </si>
  <si>
    <t xml:space="preserve">Gerada automaticamente a partir das abas 1 e 2. Linhas de COMPENSAÇÃO = horas extras excedentes de outros dias, lançadas aqui para respeitar o limite diário. Guarde a folha original (aba 1).</t>
  </si>
  <si>
    <t xml:space="preserve">HORAS EXTRAS</t>
  </si>
  <si>
    <t xml:space="preserve">TIPO DO DIA</t>
  </si>
  <si>
    <t xml:space="preserve">EXPLICAÇÃO DO AJUSTE DA FOLHA DE PONTO POR CONTA DE HORA EXTRA E COMPENSAÇÃO</t>
  </si>
  <si>
    <t xml:space="preserve">_______________________________</t>
  </si>
  <si>
    <t xml:space="preserve">Assinatura do funcionário</t>
  </si>
  <si>
    <t xml:space="preserve">Responsável pela hora extra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</si>
</sst>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:mm"/>
    <numFmt numFmtId="167" formatCode="[h]:mm;\-[h]:mm;;@"/>
    <numFmt numFmtId="168" formatCode="[h]:mm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D9D2E9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D9D2E9"/>
      </patternFill>
    </fill>
    <fill>
      <patternFill patternType="solid">
        <fgColor rgb="FFC6E0B4"/>
        <bgColor rgb="FFC6EFCE"/>
      </patternFill>
    </fill>
    <fill>
      <patternFill patternType="solid">
        <fgColor rgb="FFF8CBAD"/>
        <bgColor rgb="FFFFE699"/>
      </patternFill>
    </fill>
    <fill>
      <patternFill patternType="solid">
        <fgColor rgb="FFD9D2E9"/>
        <bgColor rgb="FFD9D9D9"/>
      </patternFill>
    </fill>
    <fill>
      <patternFill patternType="solid">
        <fgColor rgb="FFFFD96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Calibri"/>
        <charset val="1"/>
        <family val="0"/>
        <b val="1"/>
        <color rgb="FFFF0000"/>
      </font>
    </dxf>
    <dxf>
      <font>
        <name val="Calibri"/>
        <charset val="1"/>
        <family val="0"/>
        <i val="1"/>
        <color rgb="FF7F7F7F"/>
      </font>
    </dxf>
    <dxf>
      <fill>
        <patternFill>
          <bgColor rgb="FFF4B084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ont>
        <name val="Calibri"/>
        <charset val="1"/>
        <family val="0"/>
        <b val="1"/>
        <color rgb="FF00B050"/>
      </font>
    </dxf>
    <dxf>
      <font>
        <name val="Calibri"/>
        <charset val="1"/>
        <family val="0"/>
        <b val="1"/>
        <color rgb="FF0070C0"/>
      </font>
    </dxf>
    <dxf>
      <font>
        <name val="Calibri"/>
        <charset val="1"/>
        <family val="0"/>
        <b val="1"/>
        <color rgb="FFC55A11"/>
      </font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9EAF7"/>
      <rgbColor rgb="FF660066"/>
      <rgbColor rgb="FFFF8080"/>
      <rgbColor rgb="FF0070C0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BDD7EE"/>
      <rgbColor rgb="FFF4B084"/>
      <rgbColor rgb="FFC6E0B4"/>
      <rgbColor rgb="FFF8CBAD"/>
      <rgbColor rgb="FF3366FF"/>
      <rgbColor rgb="FF33CCCC"/>
      <rgbColor rgb="FF99CC00"/>
      <rgbColor rgb="FFFFD966"/>
      <rgbColor rgb="FFFF9900"/>
      <rgbColor rgb="FFC55A11"/>
      <rgbColor rgb="FF595959"/>
      <rgbColor rgb="FF7F7F7F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8.65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2"/>
    </row>
    <row r="4" customFormat="false" ht="54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2" t="s">
        <v>3</v>
      </c>
      <c r="B5" s="2"/>
    </row>
    <row r="6" customFormat="false" ht="36" hidden="false" customHeight="true" outlineLevel="0" collapsed="false">
      <c r="A6" s="3" t="s">
        <v>4</v>
      </c>
      <c r="B6" s="3"/>
    </row>
    <row r="7" customFormat="false" ht="36" hidden="false" customHeight="true" outlineLevel="0" collapsed="false">
      <c r="A7" s="3" t="s">
        <v>5</v>
      </c>
      <c r="B7" s="3"/>
    </row>
    <row r="8" customFormat="false" ht="54" hidden="false" customHeight="true" outlineLevel="0" collapsed="false">
      <c r="A8" s="3" t="s">
        <v>6</v>
      </c>
      <c r="B8" s="3"/>
    </row>
    <row r="9" customFormat="false" ht="36" hidden="false" customHeight="true" outlineLevel="0" collapsed="false">
      <c r="A9" s="3" t="s">
        <v>7</v>
      </c>
      <c r="B9" s="3"/>
    </row>
    <row r="10" customFormat="false" ht="36" hidden="false" customHeight="true" outlineLevel="0" collapsed="false">
      <c r="A10" s="3" t="s">
        <v>8</v>
      </c>
      <c r="B10" s="3"/>
    </row>
    <row r="11" customFormat="false" ht="19.5" hidden="false" customHeight="true" outlineLevel="0" collapsed="false">
      <c r="A11" s="2" t="s">
        <v>9</v>
      </c>
      <c r="B11" s="2"/>
    </row>
    <row r="12" customFormat="false" ht="36" hidden="false" customHeight="true" outlineLevel="0" collapsed="false">
      <c r="A12" s="3" t="s">
        <v>10</v>
      </c>
      <c r="B12" s="3"/>
    </row>
    <row r="13" customFormat="false" ht="36" hidden="false" customHeight="true" outlineLevel="0" collapsed="false">
      <c r="A13" s="3" t="s">
        <v>11</v>
      </c>
      <c r="B13" s="3"/>
    </row>
    <row r="14" customFormat="false" ht="36" hidden="false" customHeight="true" outlineLevel="0" collapsed="false">
      <c r="A14" s="3" t="s">
        <v>12</v>
      </c>
      <c r="B14" s="3"/>
    </row>
    <row r="15" customFormat="false" ht="36" hidden="false" customHeight="true" outlineLevel="0" collapsed="false">
      <c r="A15" s="3" t="s">
        <v>13</v>
      </c>
      <c r="B15" s="3"/>
    </row>
    <row r="16" customFormat="false" ht="54" hidden="false" customHeight="true" outlineLevel="0" collapsed="false">
      <c r="A16" s="3" t="s">
        <v>14</v>
      </c>
      <c r="B16" s="3"/>
    </row>
    <row r="17" customFormat="false" ht="54" hidden="false" customHeight="true" outlineLevel="0" collapsed="false">
      <c r="A17" s="3" t="s">
        <v>15</v>
      </c>
      <c r="B17" s="3"/>
    </row>
    <row r="18" customFormat="false" ht="36" hidden="false" customHeight="true" outlineLevel="0" collapsed="false">
      <c r="A18" s="3" t="s">
        <v>16</v>
      </c>
      <c r="B18" s="3"/>
    </row>
    <row r="19" customFormat="false" ht="19.5" hidden="false" customHeight="true" outlineLevel="0" collapsed="false">
      <c r="A19" s="2" t="s">
        <v>17</v>
      </c>
      <c r="B19" s="2"/>
    </row>
    <row r="20" customFormat="false" ht="36" hidden="false" customHeight="true" outlineLevel="0" collapsed="false">
      <c r="A20" s="3" t="s">
        <v>18</v>
      </c>
      <c r="B20" s="3"/>
    </row>
    <row r="21" customFormat="false" ht="19.5" hidden="false" customHeight="true" outlineLevel="0" collapsed="false">
      <c r="A21" s="2" t="s">
        <v>19</v>
      </c>
      <c r="B21" s="2"/>
    </row>
    <row r="22" customFormat="false" ht="72" hidden="false" customHeight="true" outlineLevel="0" collapsed="false">
      <c r="A22" s="3" t="s">
        <v>20</v>
      </c>
      <c r="B22" s="3"/>
    </row>
  </sheetData>
  <mergeCells count="21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6" min="3" style="0" width="16"/>
  </cols>
  <sheetData>
    <row r="1" customFormat="false" ht="18.65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" t="s">
        <v>22</v>
      </c>
    </row>
    <row r="3" customFormat="false" ht="15" hidden="false" customHeight="true" outlineLevel="0" collapsed="false">
      <c r="A3" s="5" t="s">
        <v>23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6" t="s">
        <v>24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6" t="s">
        <v>25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26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6" t="s">
        <v>27</v>
      </c>
      <c r="B7" s="7"/>
      <c r="C7" s="7"/>
      <c r="D7" s="7"/>
      <c r="E7" s="7"/>
      <c r="F7" s="7"/>
    </row>
    <row r="8" customFormat="false" ht="15" hidden="false" customHeight="false" outlineLevel="0" collapsed="false">
      <c r="A8" s="6" t="s">
        <v>28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6" t="s">
        <v>29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6" t="s">
        <v>30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6" t="s">
        <v>31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6" t="s">
        <v>32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6" t="s">
        <v>33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6" t="s">
        <v>34</v>
      </c>
      <c r="B14" s="8" t="n">
        <v>46327</v>
      </c>
      <c r="C14" s="8"/>
      <c r="D14" s="8"/>
      <c r="E14" s="8"/>
      <c r="F14" s="8"/>
    </row>
    <row r="15" customFormat="false" ht="15" hidden="false" customHeight="false" outlineLevel="0" collapsed="false">
      <c r="A15" s="6" t="s">
        <v>35</v>
      </c>
      <c r="B15" s="9" t="str">
        <f aca="false">IF(B14="","",CHOOSE(MONTH(B14),"JANEIRO","FEVEREIRO","MARÇO","ABRIL","MAIO","JUNHO","JULHO","AGOSTO","SETEMBRO","OUTUBRO","NOVEMBRO","DEZEMBRO"))</f>
        <v>NOVEMBRO</v>
      </c>
      <c r="C15" s="9"/>
      <c r="D15" s="9"/>
      <c r="E15" s="9"/>
      <c r="F15" s="9"/>
    </row>
    <row r="16" customFormat="false" ht="15" hidden="false" customHeight="false" outlineLevel="0" collapsed="false">
      <c r="A16" s="6" t="s">
        <v>36</v>
      </c>
      <c r="B16" s="9" t="n">
        <f aca="false">IF(B14="","",YEAR(B14))</f>
        <v>2026</v>
      </c>
      <c r="C16" s="9"/>
      <c r="D16" s="9"/>
      <c r="E16" s="9"/>
      <c r="F16" s="9"/>
    </row>
    <row r="18" customFormat="false" ht="15" hidden="false" customHeight="true" outlineLevel="0" collapsed="false">
      <c r="A18" s="5" t="s">
        <v>37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6" t="s">
        <v>38</v>
      </c>
      <c r="B19" s="10" t="n">
        <v>0.0833333333333333</v>
      </c>
      <c r="C19" s="4" t="s">
        <v>39</v>
      </c>
    </row>
    <row r="20" customFormat="false" ht="31.5" hidden="false" customHeight="true" outlineLevel="0" collapsed="false">
      <c r="A20" s="6" t="s">
        <v>40</v>
      </c>
      <c r="B20" s="11" t="s">
        <v>41</v>
      </c>
      <c r="C20" s="4" t="s">
        <v>42</v>
      </c>
    </row>
    <row r="22" customFormat="false" ht="15" hidden="false" customHeight="true" outlineLevel="0" collapsed="false">
      <c r="A22" s="5" t="s">
        <v>43</v>
      </c>
      <c r="B22" s="5"/>
      <c r="C22" s="5"/>
      <c r="D22" s="5"/>
      <c r="E22" s="5"/>
      <c r="F22" s="5"/>
    </row>
    <row r="23" customFormat="false" ht="30" hidden="false" customHeight="true" outlineLevel="0" collapsed="false">
      <c r="A23" s="12" t="s">
        <v>44</v>
      </c>
      <c r="B23" s="12"/>
      <c r="C23" s="12"/>
      <c r="D23" s="12"/>
      <c r="E23" s="12"/>
      <c r="F23" s="12"/>
    </row>
    <row r="24" customFormat="false" ht="15" hidden="false" customHeight="false" outlineLevel="0" collapsed="false">
      <c r="A24" s="13" t="s">
        <v>45</v>
      </c>
      <c r="B24" s="13" t="s">
        <v>46</v>
      </c>
      <c r="C24" s="13" t="s">
        <v>47</v>
      </c>
      <c r="D24" s="13" t="s">
        <v>48</v>
      </c>
      <c r="E24" s="13" t="s">
        <v>49</v>
      </c>
      <c r="F24" s="13" t="s">
        <v>50</v>
      </c>
    </row>
    <row r="25" customFormat="false" ht="15" hidden="false" customHeight="false" outlineLevel="0" collapsed="false">
      <c r="A25" s="9" t="s">
        <v>51</v>
      </c>
      <c r="B25" s="10" t="n">
        <v>0.333333333333333</v>
      </c>
      <c r="C25" s="10" t="n">
        <v>0.5</v>
      </c>
      <c r="D25" s="10" t="n">
        <v>0.541666666666667</v>
      </c>
      <c r="E25" s="10" t="n">
        <v>0.708333333333333</v>
      </c>
      <c r="F25" s="14" t="n">
        <f aca="false">IF(OR(B25="",E25=""),0,ROUND(IF(E25&lt;=C25,E25-B25,(E25-B25)-(D25-C25))*1440,0)/1440)</f>
        <v>0.333333333333333</v>
      </c>
    </row>
    <row r="26" customFormat="false" ht="15" hidden="false" customHeight="false" outlineLevel="0" collapsed="false">
      <c r="A26" s="9" t="s">
        <v>52</v>
      </c>
      <c r="B26" s="10" t="n">
        <v>0.333333333333333</v>
      </c>
      <c r="C26" s="10" t="n">
        <v>0.5</v>
      </c>
      <c r="D26" s="10" t="n">
        <v>0.541666666666667</v>
      </c>
      <c r="E26" s="10" t="n">
        <v>0.708333333333333</v>
      </c>
      <c r="F26" s="14" t="n">
        <f aca="false">IF(OR(B26="",E26=""),0,ROUND(IF(E26&lt;=C26,E26-B26,(E26-B26)-(D26-C26))*1440,0)/1440)</f>
        <v>0.333333333333333</v>
      </c>
    </row>
    <row r="27" customFormat="false" ht="15" hidden="false" customHeight="false" outlineLevel="0" collapsed="false">
      <c r="A27" s="9" t="s">
        <v>53</v>
      </c>
      <c r="B27" s="10" t="n">
        <v>0.333333333333333</v>
      </c>
      <c r="C27" s="10" t="n">
        <v>0.5</v>
      </c>
      <c r="D27" s="10" t="n">
        <v>0.541666666666667</v>
      </c>
      <c r="E27" s="10" t="n">
        <v>0.708333333333333</v>
      </c>
      <c r="F27" s="14" t="n">
        <f aca="false">IF(OR(B27="",E27=""),0,ROUND(IF(E27&lt;=C27,E27-B27,(E27-B27)-(D27-C27))*1440,0)/1440)</f>
        <v>0.333333333333333</v>
      </c>
    </row>
    <row r="28" customFormat="false" ht="15" hidden="false" customHeight="false" outlineLevel="0" collapsed="false">
      <c r="A28" s="9" t="s">
        <v>54</v>
      </c>
      <c r="B28" s="10" t="n">
        <v>0.333333333333333</v>
      </c>
      <c r="C28" s="10" t="n">
        <v>0.5</v>
      </c>
      <c r="D28" s="10" t="n">
        <v>0.541666666666667</v>
      </c>
      <c r="E28" s="10" t="n">
        <v>0.708333333333333</v>
      </c>
      <c r="F28" s="14" t="n">
        <f aca="false">IF(OR(B28="",E28=""),0,ROUND(IF(E28&lt;=C28,E28-B28,(E28-B28)-(D28-C28))*1440,0)/1440)</f>
        <v>0.333333333333333</v>
      </c>
    </row>
    <row r="29" customFormat="false" ht="15" hidden="false" customHeight="false" outlineLevel="0" collapsed="false">
      <c r="A29" s="9" t="s">
        <v>55</v>
      </c>
      <c r="B29" s="10" t="n">
        <v>0.333333333333333</v>
      </c>
      <c r="C29" s="10" t="n">
        <v>0.5</v>
      </c>
      <c r="D29" s="10" t="n">
        <v>0.541666666666667</v>
      </c>
      <c r="E29" s="10" t="n">
        <v>0.708333333333333</v>
      </c>
      <c r="F29" s="14" t="n">
        <f aca="false">IF(OR(B29="",E29=""),0,ROUND(IF(E29&lt;=C29,E29-B29,(E29-B29)-(D29-C29))*1440,0)/1440)</f>
        <v>0.333333333333333</v>
      </c>
    </row>
    <row r="30" customFormat="false" ht="15" hidden="false" customHeight="false" outlineLevel="0" collapsed="false">
      <c r="A30" s="9" t="s">
        <v>56</v>
      </c>
      <c r="B30" s="10" t="n">
        <v>0.333333333333333</v>
      </c>
      <c r="C30" s="10" t="n">
        <v>0.5</v>
      </c>
      <c r="D30" s="10" t="n">
        <v>0.541666666666667</v>
      </c>
      <c r="E30" s="10" t="n">
        <v>0.708333333333333</v>
      </c>
      <c r="F30" s="14" t="n">
        <f aca="false">IF(OR(B30="",E30=""),0,ROUND(IF(E30&lt;=C30,E30-B30,(E30-B30)-(D30-C30))*1440,0)/1440)</f>
        <v>0.333333333333333</v>
      </c>
    </row>
    <row r="31" customFormat="false" ht="15" hidden="false" customHeight="false" outlineLevel="0" collapsed="false">
      <c r="A31" s="9" t="s">
        <v>57</v>
      </c>
      <c r="B31" s="10" t="n">
        <v>0.333333333333333</v>
      </c>
      <c r="C31" s="10" t="n">
        <v>0.5</v>
      </c>
      <c r="D31" s="10" t="n">
        <v>0.541666666666667</v>
      </c>
      <c r="E31" s="10" t="n">
        <v>0.708333333333333</v>
      </c>
      <c r="F31" s="14" t="n">
        <f aca="false">IF(OR(B31="",E31=""),0,ROUND(IF(E31&lt;=C31,E31-B31,(E31-B31)-(D31-C31))*1440,0)/1440)</f>
        <v>0.333333333333333</v>
      </c>
    </row>
    <row r="33" customFormat="false" ht="15" hidden="false" customHeight="true" outlineLevel="0" collapsed="false">
      <c r="A33" s="5" t="s">
        <v>58</v>
      </c>
      <c r="B33" s="5"/>
      <c r="C33" s="5"/>
      <c r="D33" s="5"/>
      <c r="E33" s="5"/>
      <c r="F33" s="5"/>
    </row>
    <row r="34" customFormat="false" ht="15" hidden="false" customHeight="false" outlineLevel="0" collapsed="false">
      <c r="A34" s="13" t="s">
        <v>59</v>
      </c>
      <c r="B34" s="13" t="s">
        <v>60</v>
      </c>
    </row>
    <row r="35" customFormat="false" ht="15" hidden="false" customHeight="false" outlineLevel="0" collapsed="false">
      <c r="A35" s="15" t="n">
        <v>46023</v>
      </c>
      <c r="B35" s="7" t="s">
        <v>61</v>
      </c>
    </row>
    <row r="36" customFormat="false" ht="15" hidden="false" customHeight="false" outlineLevel="0" collapsed="false">
      <c r="A36" s="15" t="n">
        <v>46115</v>
      </c>
      <c r="B36" s="7" t="s">
        <v>62</v>
      </c>
    </row>
    <row r="37" customFormat="false" ht="15" hidden="false" customHeight="false" outlineLevel="0" collapsed="false">
      <c r="A37" s="15" t="n">
        <v>46133</v>
      </c>
      <c r="B37" s="7" t="s">
        <v>63</v>
      </c>
    </row>
    <row r="38" customFormat="false" ht="15" hidden="false" customHeight="false" outlineLevel="0" collapsed="false">
      <c r="A38" s="15" t="n">
        <v>46143</v>
      </c>
      <c r="B38" s="7" t="s">
        <v>64</v>
      </c>
    </row>
    <row r="39" customFormat="false" ht="15" hidden="false" customHeight="false" outlineLevel="0" collapsed="false">
      <c r="A39" s="15" t="n">
        <v>46272</v>
      </c>
      <c r="B39" s="7" t="s">
        <v>65</v>
      </c>
    </row>
    <row r="40" customFormat="false" ht="15" hidden="false" customHeight="false" outlineLevel="0" collapsed="false">
      <c r="A40" s="15" t="n">
        <v>46307</v>
      </c>
      <c r="B40" s="7" t="s">
        <v>66</v>
      </c>
    </row>
    <row r="41" customFormat="false" ht="15" hidden="false" customHeight="false" outlineLevel="0" collapsed="false">
      <c r="A41" s="15" t="n">
        <v>46328</v>
      </c>
      <c r="B41" s="7" t="s">
        <v>67</v>
      </c>
    </row>
    <row r="42" customFormat="false" ht="15" hidden="false" customHeight="false" outlineLevel="0" collapsed="false">
      <c r="A42" s="15" t="n">
        <v>46341</v>
      </c>
      <c r="B42" s="7" t="s">
        <v>68</v>
      </c>
    </row>
    <row r="43" customFormat="false" ht="15" hidden="false" customHeight="false" outlineLevel="0" collapsed="false">
      <c r="A43" s="15" t="n">
        <v>46346</v>
      </c>
      <c r="B43" s="7" t="s">
        <v>69</v>
      </c>
    </row>
    <row r="44" customFormat="false" ht="15" hidden="false" customHeight="false" outlineLevel="0" collapsed="false">
      <c r="A44" s="15" t="n">
        <v>46381</v>
      </c>
      <c r="B44" s="7" t="s">
        <v>70</v>
      </c>
    </row>
    <row r="45" customFormat="false" ht="15" hidden="false" customHeight="false" outlineLevel="0" collapsed="false">
      <c r="A45" s="15"/>
      <c r="B45" s="7"/>
    </row>
    <row r="46" customFormat="false" ht="15" hidden="false" customHeight="false" outlineLevel="0" collapsed="false">
      <c r="A46" s="15"/>
      <c r="B46" s="7"/>
    </row>
    <row r="47" customFormat="false" ht="15" hidden="false" customHeight="false" outlineLevel="0" collapsed="false">
      <c r="A47" s="15"/>
      <c r="B47" s="7"/>
    </row>
    <row r="48" customFormat="false" ht="15" hidden="false" customHeight="false" outlineLevel="0" collapsed="false">
      <c r="A48" s="15"/>
      <c r="B48" s="7"/>
    </row>
    <row r="49" customFormat="false" ht="15" hidden="false" customHeight="false" outlineLevel="0" collapsed="false">
      <c r="A49" s="15"/>
      <c r="B49" s="7"/>
    </row>
    <row r="50" customFormat="false" ht="15" hidden="false" customHeight="false" outlineLevel="0" collapsed="false">
      <c r="A50" s="15"/>
      <c r="B50" s="7"/>
    </row>
  </sheetData>
  <mergeCells count="19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8:F18"/>
    <mergeCell ref="A22:F22"/>
    <mergeCell ref="A23:F23"/>
    <mergeCell ref="A33:F33"/>
  </mergeCells>
  <dataValidations count="1">
    <dataValidation allowBlank="false" errorStyle="stop" operator="between" showDropDown="false" showErrorMessage="false" showInputMessage="false" sqref="B2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5"/>
    <col collapsed="false" customWidth="true" hidden="false" outlineLevel="0" max="8" min="3" style="0" width="10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62"/>
  </cols>
  <sheetData>
    <row r="1" customFormat="false" ht="18.6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4" t="s">
        <v>72</v>
      </c>
    </row>
    <row r="3" customFormat="false" ht="21" hidden="false" customHeight="true" outlineLevel="0" collapsed="false">
      <c r="A3" s="9" t="str">
        <f aca="false">" EMPREGADOR: "&amp;Parametros!B4</f>
        <v> EMPREGADOR: </v>
      </c>
      <c r="B3" s="9"/>
      <c r="C3" s="9"/>
      <c r="D3" s="9"/>
      <c r="E3" s="9"/>
      <c r="F3" s="9"/>
      <c r="G3" s="9"/>
      <c r="H3" s="9"/>
      <c r="I3" s="9" t="str">
        <f aca="false">"CEI / CNPJ Nº: "&amp;Parametros!B5</f>
        <v>CEI / CNPJ Nº: </v>
      </c>
      <c r="J3" s="9"/>
      <c r="K3" s="9"/>
    </row>
    <row r="4" customFormat="false" ht="21" hidden="false" customHeight="true" outlineLevel="0" collapsed="false">
      <c r="A4" s="9" t="str">
        <f aca="false">" ENDEREÇO: "&amp;Parametros!B6</f>
        <v> ENDEREÇO: </v>
      </c>
      <c r="B4" s="9"/>
      <c r="C4" s="9"/>
      <c r="D4" s="9"/>
      <c r="E4" s="9"/>
      <c r="F4" s="9"/>
      <c r="G4" s="9"/>
      <c r="H4" s="9"/>
      <c r="I4" s="9" t="str">
        <f aca="false">"DATA DE ADMISSÃO: "&amp;IF(Parametros!B10="","",TEXT(Parametros!B10,"dd/mm/yyyy"))</f>
        <v>DATA DE ADMISSÃO: </v>
      </c>
      <c r="J4" s="9"/>
      <c r="K4" s="9"/>
    </row>
    <row r="5" customFormat="false" ht="21" hidden="false" customHeight="true" outlineLevel="0" collapsed="false">
      <c r="A5" s="9" t="str">
        <f aca="false">" EMPREGADO(A): "&amp;Parametros!B7</f>
        <v> EMPREGADO(A): </v>
      </c>
      <c r="B5" s="9"/>
      <c r="C5" s="9"/>
      <c r="D5" s="9"/>
      <c r="E5" s="9"/>
      <c r="F5" s="9"/>
      <c r="G5" s="9"/>
      <c r="H5" s="9"/>
      <c r="I5" s="9" t="str">
        <f aca="false">"CTPS Nº E SÉRIE: "&amp;Parametros!B9</f>
        <v>CTPS Nº E SÉRIE: </v>
      </c>
      <c r="J5" s="9"/>
      <c r="K5" s="9"/>
    </row>
    <row r="6" customFormat="false" ht="21" hidden="false" customHeight="true" outlineLevel="0" collapsed="false">
      <c r="A6" s="9" t="str">
        <f aca="false">" FUNÇÃO: "&amp;Parametros!B8</f>
        <v> FUNÇÃO: </v>
      </c>
      <c r="B6" s="9"/>
      <c r="C6" s="9"/>
      <c r="D6" s="9"/>
      <c r="E6" s="9"/>
      <c r="F6" s="9"/>
      <c r="G6" s="9"/>
      <c r="H6" s="9"/>
      <c r="I6" s="9" t="str">
        <f aca="false">"HORÁRIO SEG. A SEXTA: "&amp;Parametros!B11</f>
        <v>HORÁRIO SEG. A SEXTA: </v>
      </c>
      <c r="J6" s="9"/>
      <c r="K6" s="9"/>
    </row>
    <row r="7" customFormat="false" ht="21" hidden="false" customHeight="true" outlineLevel="0" collapsed="false">
      <c r="A7" s="9" t="str">
        <f aca="false">" HORÁRIO AOS SÁBADOS: "&amp;Parametros!B12</f>
        <v> HORÁRIO AOS SÁBADOS: </v>
      </c>
      <c r="B7" s="9"/>
      <c r="C7" s="9"/>
      <c r="D7" s="9"/>
      <c r="E7" s="9" t="str">
        <f aca="false">"DESCANSO SEMANAL: "&amp;Parametros!B13</f>
        <v>DESCANSO SEMANAL: </v>
      </c>
      <c r="F7" s="9"/>
      <c r="G7" s="9"/>
      <c r="H7" s="9"/>
      <c r="I7" s="9" t="str">
        <f aca="false">"MÊS: "&amp;Parametros!B15&amp;"        ANO: "&amp;Parametros!B16</f>
        <v>MÊS: NOVEMBRO        ANO: 2026</v>
      </c>
      <c r="J7" s="9"/>
      <c r="K7" s="9"/>
    </row>
    <row r="9" customFormat="false" ht="31.5" hidden="false" customHeight="true" outlineLevel="0" collapsed="false">
      <c r="A9" s="5" t="s">
        <v>73</v>
      </c>
      <c r="B9" s="5" t="s">
        <v>45</v>
      </c>
      <c r="C9" s="5" t="s">
        <v>46</v>
      </c>
      <c r="D9" s="5" t="s">
        <v>74</v>
      </c>
      <c r="E9" s="5"/>
      <c r="F9" s="5" t="s">
        <v>49</v>
      </c>
      <c r="G9" s="5" t="s">
        <v>75</v>
      </c>
      <c r="H9" s="5"/>
      <c r="I9" s="5" t="s">
        <v>76</v>
      </c>
      <c r="J9" s="5" t="s">
        <v>77</v>
      </c>
      <c r="K9" s="5" t="s">
        <v>78</v>
      </c>
    </row>
    <row r="10" customFormat="false" ht="15" hidden="false" customHeight="false" outlineLevel="0" collapsed="false">
      <c r="A10" s="5"/>
      <c r="B10" s="5"/>
      <c r="C10" s="5"/>
      <c r="D10" s="13" t="s">
        <v>79</v>
      </c>
      <c r="E10" s="13" t="s">
        <v>48</v>
      </c>
      <c r="F10" s="5"/>
      <c r="G10" s="13" t="s">
        <v>46</v>
      </c>
      <c r="H10" s="13" t="s">
        <v>49</v>
      </c>
      <c r="I10" s="5"/>
      <c r="J10" s="5"/>
      <c r="K10" s="5"/>
    </row>
    <row r="11" customFormat="false" ht="18" hidden="false" customHeight="true" outlineLevel="0" collapsed="false">
      <c r="A11" s="16" t="n">
        <f aca="false">IF(Parametros!$B$14+0&lt;=EOMONTH(Parametros!$B$14,0),Parametros!$B$14+0,"")</f>
        <v>46327</v>
      </c>
      <c r="B11" s="17" t="str">
        <f aca="false">IF(A11="","",CHOOSE(WEEKDAY(A11,2),"Segunda-feira","Terça-feira","Quarta-feira","Quinta-feira","Sexta-feira","Sábado","Domingo"))</f>
        <v>Domingo</v>
      </c>
      <c r="C11" s="10"/>
      <c r="D11" s="10"/>
      <c r="E11" s="10"/>
      <c r="F11" s="10"/>
      <c r="G11" s="10"/>
      <c r="H11" s="10"/>
      <c r="I11" s="11"/>
      <c r="J11" s="11"/>
      <c r="K11" s="7"/>
    </row>
    <row r="12" customFormat="false" ht="18" hidden="false" customHeight="true" outlineLevel="0" collapsed="false">
      <c r="A12" s="16" t="n">
        <f aca="false">IF(Parametros!$B$14+1&lt;=EOMONTH(Parametros!$B$14,0),Parametros!$B$14+1,"")</f>
        <v>46328</v>
      </c>
      <c r="B12" s="17" t="str">
        <f aca="false">IF(A12="","",CHOOSE(WEEKDAY(A12,2),"Segunda-feira","Terça-feira","Quarta-feira","Quinta-feira","Sexta-feira","Sábado","Domingo"))</f>
        <v>Segunda-feira</v>
      </c>
      <c r="C12" s="10"/>
      <c r="D12" s="10"/>
      <c r="E12" s="10"/>
      <c r="F12" s="10"/>
      <c r="G12" s="10"/>
      <c r="H12" s="10"/>
      <c r="I12" s="11"/>
      <c r="J12" s="11"/>
      <c r="K12" s="7"/>
    </row>
    <row r="13" customFormat="false" ht="18" hidden="false" customHeight="true" outlineLevel="0" collapsed="false">
      <c r="A13" s="16" t="n">
        <f aca="false">IF(Parametros!$B$14+2&lt;=EOMONTH(Parametros!$B$14,0),Parametros!$B$14+2,"")</f>
        <v>46329</v>
      </c>
      <c r="B13" s="17" t="str">
        <f aca="false">IF(A13="","",CHOOSE(WEEKDAY(A13,2),"Segunda-feira","Terça-feira","Quarta-feira","Quinta-feira","Sexta-feira","Sábado","Domingo"))</f>
        <v>Terça-feira</v>
      </c>
      <c r="C13" s="10"/>
      <c r="D13" s="10"/>
      <c r="E13" s="10"/>
      <c r="F13" s="10"/>
      <c r="G13" s="10"/>
      <c r="H13" s="10"/>
      <c r="I13" s="11"/>
      <c r="J13" s="11"/>
      <c r="K13" s="7"/>
    </row>
    <row r="14" customFormat="false" ht="18" hidden="false" customHeight="true" outlineLevel="0" collapsed="false">
      <c r="A14" s="16" t="n">
        <f aca="false">IF(Parametros!$B$14+3&lt;=EOMONTH(Parametros!$B$14,0),Parametros!$B$14+3,"")</f>
        <v>46330</v>
      </c>
      <c r="B14" s="17" t="str">
        <f aca="false">IF(A14="","",CHOOSE(WEEKDAY(A14,2),"Segunda-feira","Terça-feira","Quarta-feira","Quinta-feira","Sexta-feira","Sábado","Domingo"))</f>
        <v>Quarta-feira</v>
      </c>
      <c r="C14" s="10"/>
      <c r="D14" s="10"/>
      <c r="E14" s="10"/>
      <c r="F14" s="10"/>
      <c r="G14" s="10"/>
      <c r="H14" s="10"/>
      <c r="I14" s="11"/>
      <c r="J14" s="11"/>
      <c r="K14" s="7"/>
    </row>
    <row r="15" customFormat="false" ht="18" hidden="false" customHeight="true" outlineLevel="0" collapsed="false">
      <c r="A15" s="16" t="n">
        <f aca="false">IF(Parametros!$B$14+4&lt;=EOMONTH(Parametros!$B$14,0),Parametros!$B$14+4,"")</f>
        <v>46331</v>
      </c>
      <c r="B15" s="17" t="str">
        <f aca="false">IF(A15="","",CHOOSE(WEEKDAY(A15,2),"Segunda-feira","Terça-feira","Quarta-feira","Quinta-feira","Sexta-feira","Sábado","Domingo"))</f>
        <v>Quinta-feira</v>
      </c>
      <c r="C15" s="10"/>
      <c r="D15" s="10"/>
      <c r="E15" s="10"/>
      <c r="F15" s="10"/>
      <c r="G15" s="10"/>
      <c r="H15" s="10"/>
      <c r="I15" s="11"/>
      <c r="J15" s="11"/>
      <c r="K15" s="7"/>
    </row>
    <row r="16" customFormat="false" ht="18" hidden="false" customHeight="true" outlineLevel="0" collapsed="false">
      <c r="A16" s="16" t="n">
        <f aca="false">IF(Parametros!$B$14+5&lt;=EOMONTH(Parametros!$B$14,0),Parametros!$B$14+5,"")</f>
        <v>46332</v>
      </c>
      <c r="B16" s="17" t="str">
        <f aca="false">IF(A16="","",CHOOSE(WEEKDAY(A16,2),"Segunda-feira","Terça-feira","Quarta-feira","Quinta-feira","Sexta-feira","Sábado","Domingo"))</f>
        <v>Sexta-feira</v>
      </c>
      <c r="C16" s="10"/>
      <c r="D16" s="10"/>
      <c r="E16" s="10"/>
      <c r="F16" s="10"/>
      <c r="G16" s="10"/>
      <c r="H16" s="10"/>
      <c r="I16" s="11"/>
      <c r="J16" s="11"/>
      <c r="K16" s="7"/>
    </row>
    <row r="17" customFormat="false" ht="18" hidden="false" customHeight="true" outlineLevel="0" collapsed="false">
      <c r="A17" s="16" t="n">
        <f aca="false">IF(Parametros!$B$14+6&lt;=EOMONTH(Parametros!$B$14,0),Parametros!$B$14+6,"")</f>
        <v>46333</v>
      </c>
      <c r="B17" s="17" t="str">
        <f aca="false">IF(A17="","",CHOOSE(WEEKDAY(A17,2),"Segunda-feira","Terça-feira","Quarta-feira","Quinta-feira","Sexta-feira","Sábado","Domingo"))</f>
        <v>Sábado</v>
      </c>
      <c r="C17" s="10"/>
      <c r="D17" s="10"/>
      <c r="E17" s="10"/>
      <c r="F17" s="10"/>
      <c r="G17" s="10"/>
      <c r="H17" s="10"/>
      <c r="I17" s="11"/>
      <c r="J17" s="11"/>
      <c r="K17" s="7"/>
    </row>
    <row r="18" customFormat="false" ht="18" hidden="false" customHeight="true" outlineLevel="0" collapsed="false">
      <c r="A18" s="16" t="n">
        <f aca="false">IF(Parametros!$B$14+7&lt;=EOMONTH(Parametros!$B$14,0),Parametros!$B$14+7,"")</f>
        <v>46334</v>
      </c>
      <c r="B18" s="17" t="str">
        <f aca="false">IF(A18="","",CHOOSE(WEEKDAY(A18,2),"Segunda-feira","Terça-feira","Quarta-feira","Quinta-feira","Sexta-feira","Sábado","Domingo"))</f>
        <v>Domingo</v>
      </c>
      <c r="C18" s="10"/>
      <c r="D18" s="10"/>
      <c r="E18" s="10"/>
      <c r="F18" s="10"/>
      <c r="G18" s="10"/>
      <c r="H18" s="10"/>
      <c r="I18" s="11"/>
      <c r="J18" s="11"/>
      <c r="K18" s="7"/>
    </row>
    <row r="19" customFormat="false" ht="18" hidden="false" customHeight="true" outlineLevel="0" collapsed="false">
      <c r="A19" s="16" t="n">
        <f aca="false">IF(Parametros!$B$14+8&lt;=EOMONTH(Parametros!$B$14,0),Parametros!$B$14+8,"")</f>
        <v>46335</v>
      </c>
      <c r="B19" s="17" t="str">
        <f aca="false">IF(A19="","",CHOOSE(WEEKDAY(A19,2),"Segunda-feira","Terça-feira","Quarta-feira","Quinta-feira","Sexta-feira","Sábado","Domingo"))</f>
        <v>Segunda-feira</v>
      </c>
      <c r="C19" s="10"/>
      <c r="D19" s="10"/>
      <c r="E19" s="10"/>
      <c r="F19" s="10"/>
      <c r="G19" s="10"/>
      <c r="H19" s="10"/>
      <c r="I19" s="11"/>
      <c r="J19" s="11"/>
      <c r="K19" s="7"/>
    </row>
    <row r="20" customFormat="false" ht="18" hidden="false" customHeight="true" outlineLevel="0" collapsed="false">
      <c r="A20" s="16" t="n">
        <f aca="false">IF(Parametros!$B$14+9&lt;=EOMONTH(Parametros!$B$14,0),Parametros!$B$14+9,"")</f>
        <v>46336</v>
      </c>
      <c r="B20" s="17" t="str">
        <f aca="false">IF(A20="","",CHOOSE(WEEKDAY(A20,2),"Segunda-feira","Terça-feira","Quarta-feira","Quinta-feira","Sexta-feira","Sábado","Domingo"))</f>
        <v>Terça-feira</v>
      </c>
      <c r="C20" s="10"/>
      <c r="D20" s="10"/>
      <c r="E20" s="10"/>
      <c r="F20" s="10"/>
      <c r="G20" s="10"/>
      <c r="H20" s="10"/>
      <c r="I20" s="11"/>
      <c r="J20" s="11"/>
      <c r="K20" s="7"/>
    </row>
    <row r="21" customFormat="false" ht="18" hidden="false" customHeight="true" outlineLevel="0" collapsed="false">
      <c r="A21" s="16" t="n">
        <f aca="false">IF(Parametros!$B$14+10&lt;=EOMONTH(Parametros!$B$14,0),Parametros!$B$14+10,"")</f>
        <v>46337</v>
      </c>
      <c r="B21" s="17" t="str">
        <f aca="false">IF(A21="","",CHOOSE(WEEKDAY(A21,2),"Segunda-feira","Terça-feira","Quarta-feira","Quinta-feira","Sexta-feira","Sábado","Domingo"))</f>
        <v>Quarta-feira</v>
      </c>
      <c r="C21" s="10"/>
      <c r="D21" s="10"/>
      <c r="E21" s="10"/>
      <c r="F21" s="10"/>
      <c r="G21" s="10"/>
      <c r="H21" s="10"/>
      <c r="I21" s="11"/>
      <c r="J21" s="11"/>
      <c r="K21" s="7"/>
    </row>
    <row r="22" customFormat="false" ht="18" hidden="false" customHeight="true" outlineLevel="0" collapsed="false">
      <c r="A22" s="16" t="n">
        <f aca="false">IF(Parametros!$B$14+11&lt;=EOMONTH(Parametros!$B$14,0),Parametros!$B$14+11,"")</f>
        <v>46338</v>
      </c>
      <c r="B22" s="17" t="str">
        <f aca="false">IF(A22="","",CHOOSE(WEEKDAY(A22,2),"Segunda-feira","Terça-feira","Quarta-feira","Quinta-feira","Sexta-feira","Sábado","Domingo"))</f>
        <v>Quinta-feira</v>
      </c>
      <c r="C22" s="10"/>
      <c r="D22" s="10"/>
      <c r="E22" s="10"/>
      <c r="F22" s="10"/>
      <c r="G22" s="10"/>
      <c r="H22" s="10"/>
      <c r="I22" s="11"/>
      <c r="J22" s="11"/>
      <c r="K22" s="7"/>
    </row>
    <row r="23" customFormat="false" ht="18" hidden="false" customHeight="true" outlineLevel="0" collapsed="false">
      <c r="A23" s="16" t="n">
        <f aca="false">IF(Parametros!$B$14+12&lt;=EOMONTH(Parametros!$B$14,0),Parametros!$B$14+12,"")</f>
        <v>46339</v>
      </c>
      <c r="B23" s="17" t="str">
        <f aca="false">IF(A23="","",CHOOSE(WEEKDAY(A23,2),"Segunda-feira","Terça-feira","Quarta-feira","Quinta-feira","Sexta-feira","Sábado","Domingo"))</f>
        <v>Sexta-feira</v>
      </c>
      <c r="C23" s="10"/>
      <c r="D23" s="10"/>
      <c r="E23" s="10"/>
      <c r="F23" s="10"/>
      <c r="G23" s="10"/>
      <c r="H23" s="10"/>
      <c r="I23" s="11"/>
      <c r="J23" s="11"/>
      <c r="K23" s="7"/>
    </row>
    <row r="24" customFormat="false" ht="18" hidden="false" customHeight="true" outlineLevel="0" collapsed="false">
      <c r="A24" s="16" t="n">
        <f aca="false">IF(Parametros!$B$14+13&lt;=EOMONTH(Parametros!$B$14,0),Parametros!$B$14+13,"")</f>
        <v>46340</v>
      </c>
      <c r="B24" s="17" t="str">
        <f aca="false">IF(A24="","",CHOOSE(WEEKDAY(A24,2),"Segunda-feira","Terça-feira","Quarta-feira","Quinta-feira","Sexta-feira","Sábado","Domingo"))</f>
        <v>Sábado</v>
      </c>
      <c r="C24" s="10"/>
      <c r="D24" s="10"/>
      <c r="E24" s="10"/>
      <c r="F24" s="10"/>
      <c r="G24" s="10"/>
      <c r="H24" s="10"/>
      <c r="I24" s="11"/>
      <c r="J24" s="11"/>
      <c r="K24" s="7"/>
    </row>
    <row r="25" customFormat="false" ht="18" hidden="false" customHeight="true" outlineLevel="0" collapsed="false">
      <c r="A25" s="16" t="n">
        <f aca="false">IF(Parametros!$B$14+14&lt;=EOMONTH(Parametros!$B$14,0),Parametros!$B$14+14,"")</f>
        <v>46341</v>
      </c>
      <c r="B25" s="17" t="str">
        <f aca="false">IF(A25="","",CHOOSE(WEEKDAY(A25,2),"Segunda-feira","Terça-feira","Quarta-feira","Quinta-feira","Sexta-feira","Sábado","Domingo"))</f>
        <v>Domingo</v>
      </c>
      <c r="C25" s="10"/>
      <c r="D25" s="10"/>
      <c r="E25" s="10"/>
      <c r="F25" s="10"/>
      <c r="G25" s="10"/>
      <c r="H25" s="10"/>
      <c r="I25" s="11"/>
      <c r="J25" s="11"/>
      <c r="K25" s="7"/>
    </row>
    <row r="26" customFormat="false" ht="18" hidden="false" customHeight="true" outlineLevel="0" collapsed="false">
      <c r="A26" s="16" t="n">
        <f aca="false">IF(Parametros!$B$14+15&lt;=EOMONTH(Parametros!$B$14,0),Parametros!$B$14+15,"")</f>
        <v>46342</v>
      </c>
      <c r="B26" s="17" t="str">
        <f aca="false">IF(A26="","",CHOOSE(WEEKDAY(A26,2),"Segunda-feira","Terça-feira","Quarta-feira","Quinta-feira","Sexta-feira","Sábado","Domingo"))</f>
        <v>Segunda-feira</v>
      </c>
      <c r="C26" s="10"/>
      <c r="D26" s="10"/>
      <c r="E26" s="10"/>
      <c r="F26" s="10"/>
      <c r="G26" s="10"/>
      <c r="H26" s="10"/>
      <c r="I26" s="11"/>
      <c r="J26" s="11"/>
      <c r="K26" s="7"/>
    </row>
    <row r="27" customFormat="false" ht="18" hidden="false" customHeight="true" outlineLevel="0" collapsed="false">
      <c r="A27" s="16" t="n">
        <f aca="false">IF(Parametros!$B$14+16&lt;=EOMONTH(Parametros!$B$14,0),Parametros!$B$14+16,"")</f>
        <v>46343</v>
      </c>
      <c r="B27" s="17" t="str">
        <f aca="false">IF(A27="","",CHOOSE(WEEKDAY(A27,2),"Segunda-feira","Terça-feira","Quarta-feira","Quinta-feira","Sexta-feira","Sábado","Domingo"))</f>
        <v>Terça-feira</v>
      </c>
      <c r="C27" s="10"/>
      <c r="D27" s="10"/>
      <c r="E27" s="10"/>
      <c r="F27" s="10"/>
      <c r="G27" s="10"/>
      <c r="H27" s="10"/>
      <c r="I27" s="11"/>
      <c r="J27" s="11"/>
      <c r="K27" s="7"/>
    </row>
    <row r="28" customFormat="false" ht="18" hidden="false" customHeight="true" outlineLevel="0" collapsed="false">
      <c r="A28" s="16" t="n">
        <f aca="false">IF(Parametros!$B$14+17&lt;=EOMONTH(Parametros!$B$14,0),Parametros!$B$14+17,"")</f>
        <v>46344</v>
      </c>
      <c r="B28" s="17" t="str">
        <f aca="false">IF(A28="","",CHOOSE(WEEKDAY(A28,2),"Segunda-feira","Terça-feira","Quarta-feira","Quinta-feira","Sexta-feira","Sábado","Domingo"))</f>
        <v>Quarta-feira</v>
      </c>
      <c r="C28" s="10"/>
      <c r="D28" s="10"/>
      <c r="E28" s="10"/>
      <c r="F28" s="10"/>
      <c r="G28" s="10"/>
      <c r="H28" s="10"/>
      <c r="I28" s="11"/>
      <c r="J28" s="11"/>
      <c r="K28" s="7"/>
    </row>
    <row r="29" customFormat="false" ht="18" hidden="false" customHeight="true" outlineLevel="0" collapsed="false">
      <c r="A29" s="16" t="n">
        <f aca="false">IF(Parametros!$B$14+18&lt;=EOMONTH(Parametros!$B$14,0),Parametros!$B$14+18,"")</f>
        <v>46345</v>
      </c>
      <c r="B29" s="17" t="str">
        <f aca="false">IF(A29="","",CHOOSE(WEEKDAY(A29,2),"Segunda-feira","Terça-feira","Quarta-feira","Quinta-feira","Sexta-feira","Sábado","Domingo"))</f>
        <v>Quinta-feira</v>
      </c>
      <c r="C29" s="10"/>
      <c r="D29" s="10"/>
      <c r="E29" s="10"/>
      <c r="F29" s="10"/>
      <c r="G29" s="10"/>
      <c r="H29" s="10"/>
      <c r="I29" s="11"/>
      <c r="J29" s="11"/>
      <c r="K29" s="7"/>
    </row>
    <row r="30" customFormat="false" ht="18" hidden="false" customHeight="true" outlineLevel="0" collapsed="false">
      <c r="A30" s="16" t="n">
        <f aca="false">IF(Parametros!$B$14+19&lt;=EOMONTH(Parametros!$B$14,0),Parametros!$B$14+19,"")</f>
        <v>46346</v>
      </c>
      <c r="B30" s="17" t="str">
        <f aca="false">IF(A30="","",CHOOSE(WEEKDAY(A30,2),"Segunda-feira","Terça-feira","Quarta-feira","Quinta-feira","Sexta-feira","Sábado","Domingo"))</f>
        <v>Sexta-feira</v>
      </c>
      <c r="C30" s="10"/>
      <c r="D30" s="10"/>
      <c r="E30" s="10"/>
      <c r="F30" s="10"/>
      <c r="G30" s="10"/>
      <c r="H30" s="10"/>
      <c r="I30" s="11"/>
      <c r="J30" s="11"/>
      <c r="K30" s="7"/>
    </row>
    <row r="31" customFormat="false" ht="18" hidden="false" customHeight="true" outlineLevel="0" collapsed="false">
      <c r="A31" s="16" t="n">
        <f aca="false">IF(Parametros!$B$14+20&lt;=EOMONTH(Parametros!$B$14,0),Parametros!$B$14+20,"")</f>
        <v>46347</v>
      </c>
      <c r="B31" s="17" t="str">
        <f aca="false">IF(A31="","",CHOOSE(WEEKDAY(A31,2),"Segunda-feira","Terça-feira","Quarta-feira","Quinta-feira","Sexta-feira","Sábado","Domingo"))</f>
        <v>Sábado</v>
      </c>
      <c r="C31" s="10"/>
      <c r="D31" s="10"/>
      <c r="E31" s="10"/>
      <c r="F31" s="10"/>
      <c r="G31" s="10"/>
      <c r="H31" s="10"/>
      <c r="I31" s="11"/>
      <c r="J31" s="11"/>
      <c r="K31" s="7"/>
    </row>
    <row r="32" customFormat="false" ht="18" hidden="false" customHeight="true" outlineLevel="0" collapsed="false">
      <c r="A32" s="16" t="n">
        <f aca="false">IF(Parametros!$B$14+21&lt;=EOMONTH(Parametros!$B$14,0),Parametros!$B$14+21,"")</f>
        <v>46348</v>
      </c>
      <c r="B32" s="17" t="str">
        <f aca="false">IF(A32="","",CHOOSE(WEEKDAY(A32,2),"Segunda-feira","Terça-feira","Quarta-feira","Quinta-feira","Sexta-feira","Sábado","Domingo"))</f>
        <v>Domingo</v>
      </c>
      <c r="C32" s="10"/>
      <c r="D32" s="10"/>
      <c r="E32" s="10"/>
      <c r="F32" s="10"/>
      <c r="G32" s="10"/>
      <c r="H32" s="10"/>
      <c r="I32" s="11"/>
      <c r="J32" s="11"/>
      <c r="K32" s="7"/>
    </row>
    <row r="33" customFormat="false" ht="18" hidden="false" customHeight="true" outlineLevel="0" collapsed="false">
      <c r="A33" s="16" t="n">
        <f aca="false">IF(Parametros!$B$14+22&lt;=EOMONTH(Parametros!$B$14,0),Parametros!$B$14+22,"")</f>
        <v>46349</v>
      </c>
      <c r="B33" s="17" t="str">
        <f aca="false">IF(A33="","",CHOOSE(WEEKDAY(A33,2),"Segunda-feira","Terça-feira","Quarta-feira","Quinta-feira","Sexta-feira","Sábado","Domingo"))</f>
        <v>Segunda-feira</v>
      </c>
      <c r="C33" s="10"/>
      <c r="D33" s="10"/>
      <c r="E33" s="10"/>
      <c r="F33" s="10"/>
      <c r="G33" s="10"/>
      <c r="H33" s="10"/>
      <c r="I33" s="11"/>
      <c r="J33" s="11"/>
      <c r="K33" s="7"/>
    </row>
    <row r="34" customFormat="false" ht="18" hidden="false" customHeight="true" outlineLevel="0" collapsed="false">
      <c r="A34" s="16" t="n">
        <f aca="false">IF(Parametros!$B$14+23&lt;=EOMONTH(Parametros!$B$14,0),Parametros!$B$14+23,"")</f>
        <v>46350</v>
      </c>
      <c r="B34" s="17" t="str">
        <f aca="false">IF(A34="","",CHOOSE(WEEKDAY(A34,2),"Segunda-feira","Terça-feira","Quarta-feira","Quinta-feira","Sexta-feira","Sábado","Domingo"))</f>
        <v>Terça-feira</v>
      </c>
      <c r="C34" s="10"/>
      <c r="D34" s="10"/>
      <c r="E34" s="10"/>
      <c r="F34" s="10"/>
      <c r="G34" s="10"/>
      <c r="H34" s="10"/>
      <c r="I34" s="11"/>
      <c r="J34" s="11"/>
      <c r="K34" s="7"/>
    </row>
    <row r="35" customFormat="false" ht="18" hidden="false" customHeight="true" outlineLevel="0" collapsed="false">
      <c r="A35" s="16" t="n">
        <f aca="false">IF(Parametros!$B$14+24&lt;=EOMONTH(Parametros!$B$14,0),Parametros!$B$14+24,"")</f>
        <v>46351</v>
      </c>
      <c r="B35" s="17" t="str">
        <f aca="false">IF(A35="","",CHOOSE(WEEKDAY(A35,2),"Segunda-feira","Terça-feira","Quarta-feira","Quinta-feira","Sexta-feira","Sábado","Domingo"))</f>
        <v>Quarta-feira</v>
      </c>
      <c r="C35" s="10"/>
      <c r="D35" s="10"/>
      <c r="E35" s="10"/>
      <c r="F35" s="10"/>
      <c r="G35" s="10"/>
      <c r="H35" s="10"/>
      <c r="I35" s="11"/>
      <c r="J35" s="11"/>
      <c r="K35" s="7"/>
    </row>
    <row r="36" customFormat="false" ht="18" hidden="false" customHeight="true" outlineLevel="0" collapsed="false">
      <c r="A36" s="16" t="n">
        <f aca="false">IF(Parametros!$B$14+25&lt;=EOMONTH(Parametros!$B$14,0),Parametros!$B$14+25,"")</f>
        <v>46352</v>
      </c>
      <c r="B36" s="17" t="str">
        <f aca="false">IF(A36="","",CHOOSE(WEEKDAY(A36,2),"Segunda-feira","Terça-feira","Quarta-feira","Quinta-feira","Sexta-feira","Sábado","Domingo"))</f>
        <v>Quinta-feira</v>
      </c>
      <c r="C36" s="10"/>
      <c r="D36" s="10"/>
      <c r="E36" s="10"/>
      <c r="F36" s="10"/>
      <c r="G36" s="10"/>
      <c r="H36" s="10"/>
      <c r="I36" s="11"/>
      <c r="J36" s="11"/>
      <c r="K36" s="7"/>
    </row>
    <row r="37" customFormat="false" ht="18" hidden="false" customHeight="true" outlineLevel="0" collapsed="false">
      <c r="A37" s="16" t="n">
        <f aca="false">IF(Parametros!$B$14+26&lt;=EOMONTH(Parametros!$B$14,0),Parametros!$B$14+26,"")</f>
        <v>46353</v>
      </c>
      <c r="B37" s="17" t="str">
        <f aca="false">IF(A37="","",CHOOSE(WEEKDAY(A37,2),"Segunda-feira","Terça-feira","Quarta-feira","Quinta-feira","Sexta-feira","Sábado","Domingo"))</f>
        <v>Sexta-feira</v>
      </c>
      <c r="C37" s="10"/>
      <c r="D37" s="10"/>
      <c r="E37" s="10"/>
      <c r="F37" s="10"/>
      <c r="G37" s="10"/>
      <c r="H37" s="10"/>
      <c r="I37" s="11"/>
      <c r="J37" s="11"/>
      <c r="K37" s="7"/>
    </row>
    <row r="38" customFormat="false" ht="18" hidden="false" customHeight="true" outlineLevel="0" collapsed="false">
      <c r="A38" s="16" t="n">
        <f aca="false">IF(Parametros!$B$14+27&lt;=EOMONTH(Parametros!$B$14,0),Parametros!$B$14+27,"")</f>
        <v>46354</v>
      </c>
      <c r="B38" s="17" t="str">
        <f aca="false">IF(A38="","",CHOOSE(WEEKDAY(A38,2),"Segunda-feira","Terça-feira","Quarta-feira","Quinta-feira","Sexta-feira","Sábado","Domingo"))</f>
        <v>Sábado</v>
      </c>
      <c r="C38" s="10"/>
      <c r="D38" s="10"/>
      <c r="E38" s="10"/>
      <c r="F38" s="10"/>
      <c r="G38" s="10"/>
      <c r="H38" s="10"/>
      <c r="I38" s="11"/>
      <c r="J38" s="11"/>
      <c r="K38" s="7"/>
    </row>
    <row r="39" customFormat="false" ht="18" hidden="false" customHeight="true" outlineLevel="0" collapsed="false">
      <c r="A39" s="16" t="n">
        <f aca="false">IF(Parametros!$B$14+28&lt;=EOMONTH(Parametros!$B$14,0),Parametros!$B$14+28,"")</f>
        <v>46355</v>
      </c>
      <c r="B39" s="17" t="str">
        <f aca="false">IF(A39="","",CHOOSE(WEEKDAY(A39,2),"Segunda-feira","Terça-feira","Quarta-feira","Quinta-feira","Sexta-feira","Sábado","Domingo"))</f>
        <v>Domingo</v>
      </c>
      <c r="C39" s="10"/>
      <c r="D39" s="10"/>
      <c r="E39" s="10"/>
      <c r="F39" s="10"/>
      <c r="G39" s="10"/>
      <c r="H39" s="10"/>
      <c r="I39" s="11"/>
      <c r="J39" s="11"/>
      <c r="K39" s="7"/>
    </row>
    <row r="40" customFormat="false" ht="18" hidden="false" customHeight="true" outlineLevel="0" collapsed="false">
      <c r="A40" s="16" t="n">
        <f aca="false">IF(Parametros!$B$14+29&lt;=EOMONTH(Parametros!$B$14,0),Parametros!$B$14+29,"")</f>
        <v>46356</v>
      </c>
      <c r="B40" s="17" t="str">
        <f aca="false">IF(A40="","",CHOOSE(WEEKDAY(A40,2),"Segunda-feira","Terça-feira","Quarta-feira","Quinta-feira","Sexta-feira","Sábado","Domingo"))</f>
        <v>Segunda-feira</v>
      </c>
      <c r="C40" s="10"/>
      <c r="D40" s="10"/>
      <c r="E40" s="10"/>
      <c r="F40" s="10"/>
      <c r="G40" s="10"/>
      <c r="H40" s="10"/>
      <c r="I40" s="11"/>
      <c r="J40" s="11"/>
      <c r="K40" s="7"/>
    </row>
    <row r="41" customFormat="false" ht="18" hidden="false" customHeight="true" outlineLevel="0" collapsed="false">
      <c r="A41" s="16" t="str">
        <f aca="false">IF(Parametros!$B$14+30&lt;=EOMONTH(Parametros!$B$14,0),Parametros!$B$14+30,"")</f>
        <v/>
      </c>
      <c r="B41" s="17" t="str">
        <f aca="false">IF(A41="","",CHOOSE(WEEKDAY(A41,2),"Segunda-feira","Terça-feira","Quarta-feira","Quinta-feira","Sexta-feira","Sábado","Domingo"))</f>
        <v/>
      </c>
      <c r="C41" s="10"/>
      <c r="D41" s="10"/>
      <c r="E41" s="10"/>
      <c r="F41" s="10"/>
      <c r="G41" s="10"/>
      <c r="H41" s="10"/>
      <c r="I41" s="11"/>
      <c r="J41" s="11"/>
      <c r="K41" s="7"/>
    </row>
    <row r="43" customFormat="false" ht="15" hidden="false" customHeight="false" outlineLevel="0" collapsed="false">
      <c r="A43" s="4" t="s">
        <v>80</v>
      </c>
    </row>
  </sheetData>
  <mergeCells count="21">
    <mergeCell ref="A1:K1"/>
    <mergeCell ref="A3:H3"/>
    <mergeCell ref="I3:K3"/>
    <mergeCell ref="A4:H4"/>
    <mergeCell ref="I4:K4"/>
    <mergeCell ref="A5:H5"/>
    <mergeCell ref="I5:K5"/>
    <mergeCell ref="A6:H6"/>
    <mergeCell ref="I6:K6"/>
    <mergeCell ref="A7:D7"/>
    <mergeCell ref="E7:H7"/>
    <mergeCell ref="I7:K7"/>
    <mergeCell ref="A9:A10"/>
    <mergeCell ref="B9:B10"/>
    <mergeCell ref="C9:C10"/>
    <mergeCell ref="D9:E9"/>
    <mergeCell ref="F9:F10"/>
    <mergeCell ref="G9:H9"/>
    <mergeCell ref="I9:I10"/>
    <mergeCell ref="J9:J10"/>
    <mergeCell ref="K9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22"/>
    <col collapsed="false" customWidth="true" hidden="false" outlineLevel="0" max="18" min="17" style="0" width="11"/>
    <col collapsed="false" customWidth="true" hidden="false" outlineLevel="0" max="21" min="19" style="0" width="12"/>
    <col collapsed="false" customWidth="true" hidden="false" outlineLevel="0" max="22" min="22" style="0" width="11"/>
    <col collapsed="false" customWidth="true" hidden="false" outlineLevel="0" max="24" min="23" style="0" width="13"/>
    <col collapsed="false" customWidth="true" hidden="false" outlineLevel="0" max="25" min="25" style="0" width="12"/>
    <col collapsed="false" customWidth="true" hidden="false" outlineLevel="0" max="26" min="26" style="0" width="13"/>
  </cols>
  <sheetData>
    <row r="1" customFormat="false" ht="18.6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8" t="str">
        <f aca="false">"Empregado(a): "&amp;Parametros!B7&amp;"   |   Mês: "&amp;Parametros!B15&amp;"/"&amp;Parametros!B16&amp;"   |   Limite de extra por dia: "&amp;TEXT(Parametros!B19,"h:mm")&amp;"h"</f>
        <v>Empregado(a):    |   Mês: NOVEMBRO/2026   |   Limite de extra por dia: 2:00h</v>
      </c>
    </row>
    <row r="3" customFormat="false" ht="15" hidden="false" customHeight="false" outlineLevel="0" collapsed="false">
      <c r="A3" s="4" t="s">
        <v>82</v>
      </c>
    </row>
    <row r="5" customFormat="false" ht="30" hidden="false" customHeight="true" outlineLevel="0" collapsed="false">
      <c r="A5" s="19" t="s">
        <v>73</v>
      </c>
      <c r="B5" s="19"/>
      <c r="C5" s="20" t="s">
        <v>83</v>
      </c>
      <c r="D5" s="20"/>
      <c r="E5" s="20"/>
      <c r="F5" s="20"/>
      <c r="G5" s="21" t="s">
        <v>84</v>
      </c>
      <c r="H5" s="21"/>
      <c r="I5" s="21"/>
      <c r="J5" s="21"/>
      <c r="K5" s="21"/>
      <c r="L5" s="22" t="s">
        <v>85</v>
      </c>
      <c r="M5" s="22"/>
      <c r="N5" s="22"/>
      <c r="O5" s="22"/>
      <c r="P5" s="22"/>
      <c r="Q5" s="23" t="s">
        <v>86</v>
      </c>
      <c r="R5" s="23"/>
      <c r="S5" s="23"/>
      <c r="T5" s="23"/>
      <c r="U5" s="24" t="s">
        <v>87</v>
      </c>
      <c r="V5" s="24"/>
      <c r="W5" s="24"/>
      <c r="X5" s="24"/>
      <c r="Y5" s="25" t="s">
        <v>88</v>
      </c>
      <c r="Z5" s="25"/>
    </row>
    <row r="6" customFormat="false" ht="51.75" hidden="false" customHeight="true" outlineLevel="0" collapsed="false">
      <c r="A6" s="19" t="s">
        <v>59</v>
      </c>
      <c r="B6" s="19" t="s">
        <v>45</v>
      </c>
      <c r="C6" s="20" t="s">
        <v>89</v>
      </c>
      <c r="D6" s="20" t="s">
        <v>90</v>
      </c>
      <c r="E6" s="20" t="s">
        <v>91</v>
      </c>
      <c r="F6" s="20" t="s">
        <v>92</v>
      </c>
      <c r="G6" s="21" t="s">
        <v>93</v>
      </c>
      <c r="H6" s="21" t="s">
        <v>94</v>
      </c>
      <c r="I6" s="21" t="s">
        <v>95</v>
      </c>
      <c r="J6" s="21" t="s">
        <v>96</v>
      </c>
      <c r="K6" s="21" t="s">
        <v>50</v>
      </c>
      <c r="L6" s="22" t="s">
        <v>97</v>
      </c>
      <c r="M6" s="22" t="s">
        <v>98</v>
      </c>
      <c r="N6" s="22" t="s">
        <v>99</v>
      </c>
      <c r="O6" s="22" t="s">
        <v>100</v>
      </c>
      <c r="P6" s="22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24" t="s">
        <v>106</v>
      </c>
      <c r="V6" s="24" t="s">
        <v>107</v>
      </c>
      <c r="W6" s="24" t="s">
        <v>108</v>
      </c>
      <c r="X6" s="24" t="s">
        <v>109</v>
      </c>
      <c r="Y6" s="25" t="s">
        <v>110</v>
      </c>
      <c r="Z6" s="25" t="s">
        <v>111</v>
      </c>
    </row>
    <row r="7" customFormat="false" ht="91.5" hidden="false" customHeight="true" outlineLevel="0" collapsed="false">
      <c r="A7" s="26"/>
      <c r="B7" s="26"/>
      <c r="C7" s="26" t="s">
        <v>112</v>
      </c>
      <c r="D7" s="26" t="s">
        <v>113</v>
      </c>
      <c r="E7" s="26" t="s">
        <v>114</v>
      </c>
      <c r="F7" s="26" t="s">
        <v>115</v>
      </c>
      <c r="G7" s="26" t="s">
        <v>116</v>
      </c>
      <c r="H7" s="26" t="s">
        <v>117</v>
      </c>
      <c r="I7" s="26" t="s">
        <v>117</v>
      </c>
      <c r="J7" s="26" t="s">
        <v>118</v>
      </c>
      <c r="K7" s="26" t="s">
        <v>119</v>
      </c>
      <c r="L7" s="26" t="s">
        <v>120</v>
      </c>
      <c r="M7" s="26" t="s">
        <v>121</v>
      </c>
      <c r="N7" s="26" t="s">
        <v>122</v>
      </c>
      <c r="O7" s="26" t="s">
        <v>123</v>
      </c>
      <c r="P7" s="26" t="s">
        <v>124</v>
      </c>
      <c r="Q7" s="26" t="s">
        <v>125</v>
      </c>
      <c r="R7" s="26" t="s">
        <v>126</v>
      </c>
      <c r="S7" s="26" t="s">
        <v>127</v>
      </c>
      <c r="T7" s="26" t="s">
        <v>128</v>
      </c>
      <c r="U7" s="26" t="s">
        <v>129</v>
      </c>
      <c r="V7" s="26" t="s">
        <v>130</v>
      </c>
      <c r="W7" s="26" t="s">
        <v>131</v>
      </c>
      <c r="X7" s="26" t="s">
        <v>132</v>
      </c>
      <c r="Y7" s="26" t="s">
        <v>133</v>
      </c>
      <c r="Z7" s="26" t="s">
        <v>134</v>
      </c>
    </row>
    <row r="8" customFormat="false" ht="18" hidden="false" customHeight="true" outlineLevel="0" collapsed="false">
      <c r="A8" s="16" t="n">
        <f aca="false">1_Ponto_Batido!A11</f>
        <v>46327</v>
      </c>
      <c r="B8" s="17" t="str">
        <f aca="false">IF(A8="","",CHOOSE(WEEKDAY(A8,2),"Segunda-feira","Terça-feira","Quarta-feira","Quinta-feira","Sexta-feira","Sábado","Domingo"))</f>
        <v>Domingo</v>
      </c>
      <c r="C8" s="11"/>
      <c r="D8" s="10"/>
      <c r="E8" s="10"/>
      <c r="F8" s="27" t="str">
        <f aca="false">IF(A8="","",IF(C8&lt;&gt;"",C8,IF(1_Ponto_Batido!C11&lt;&gt;"","TRABALHO",IF(COUNTIF(Parametros!$A$35:$A$50,A8)&gt;0,"FERIADO",IF(WEEKDAY(A8,2)&gt;=6,"FOLGA","PREVISTO")))))</f>
        <v>FOLGA</v>
      </c>
      <c r="G8" s="28" t="str">
        <f aca="false">IF(OR(F8="TRABALHO",F8="PREVISTO",F8="FALTA"),IF(INDEX(Parametros!$B$25:$B$31,WEEKDAY(A8,2))&lt;&gt;"",INDEX(Parametros!$B$25:$B$31,WEEKDAY(A8,2)),""),"")</f>
        <v/>
      </c>
      <c r="H8" s="28" t="str">
        <f aca="false">IF(G8="","",INDEX(Parametros!$C$25:$C$31,WEEKDAY(A8,2)))</f>
        <v/>
      </c>
      <c r="I8" s="28" t="str">
        <f aca="false">IF(G8="","",INDEX(Parametros!$D$25:$D$31,WEEKDAY(A8,2)))</f>
        <v/>
      </c>
      <c r="J8" s="28" t="str">
        <f aca="false">IF(G8="","",IF(D8&lt;&gt;"",D8,INDEX(Parametros!$E$25:$E$31,WEEKDAY(A8,2))))</f>
        <v/>
      </c>
      <c r="K8" s="14" t="n">
        <f aca="false">IF(G8="",0,ROUND(IF(J8&lt;=H8,J8-G8,(J8-G8)-(I8-H8))*1440,0)/1440)</f>
        <v>0</v>
      </c>
      <c r="L8" s="28" t="str">
        <f aca="false">IF(F8&lt;&gt;"TRABALHO","",IF(1_Ponto_Batido!C11="","",1_Ponto_Batido!C11))</f>
        <v/>
      </c>
      <c r="M8" s="14" t="str">
        <f aca="false">IF(L8="","",IF(AND(1_Ponto_Batido!D11&lt;&gt;"",1_Ponto_Batido!E11&lt;&gt;""),1_Ponto_Batido!E11-1_Ponto_Batido!D11,IF(N8&gt;=I8,I8-H8,0)))</f>
        <v/>
      </c>
      <c r="N8" s="28" t="str">
        <f aca="false">IF(L8="","",IF(E8&lt;&gt;"",E8,MAX(1_Ponto_Batido!F11,1_Ponto_Batido!H11)))</f>
        <v/>
      </c>
      <c r="O8" s="14" t="n">
        <f aca="false">IF(F8="TRABALHO",IF(OR(L8="",N8=0),0,ROUND(MAX(0,(N8-L8)-M8)*1440,0)/1440),IF(F8="PREVISTO",K8,0))</f>
        <v>0</v>
      </c>
      <c r="P8" s="27" t="str">
        <f aca="false">IF(F8="TRABALHO",IF(OR(L8="",N8=0),"Ponto incompleto: falta entrada ou saída",IF(N8&lt;=L8,"Saída antes da entrada","")),"")</f>
        <v/>
      </c>
      <c r="Q8" s="14" t="n">
        <f aca="false">IF(OR(F8&lt;&gt;"TRABALHO",P8&lt;&gt;""),0,ROUND(MAX(0,O8-K8)*1440,0)/1440)</f>
        <v>0</v>
      </c>
      <c r="R8" s="14" t="n">
        <f aca="false">IF(F8="FALTA",K8,IF(AND(F8="TRABALHO",P8=""),ROUND(MAX(0,K8-O8)*1440,0)/1440,0))</f>
        <v>0</v>
      </c>
      <c r="S8" s="14" t="n">
        <f aca="false">IF(Q8=0,0,IF(AND(D8&lt;&gt;"",Parametros!$B$20="NÃO"),0,MIN(Q8,Parametros!$B$19)))</f>
        <v>0</v>
      </c>
      <c r="T8" s="14" t="n">
        <f aca="false">ROUND((Q8-S8)*1440,0)/1440</f>
        <v>0</v>
      </c>
      <c r="U8" s="27" t="str">
        <f aca="false">IF(AND(OR(F8="TRABALHO",F8="PREVISTO"),D8="",R8=0,P8=""),"SIM","NÃO")</f>
        <v>NÃO</v>
      </c>
      <c r="V8" s="14" t="n">
        <f aca="false">IF(U8="SIM",MAX(0,Parametros!$B$19-S8),0)</f>
        <v>0</v>
      </c>
      <c r="W8" s="14" t="n">
        <f aca="false">ROUND((SUM(T$7:T7)-SUM(X$7:X7))*1440,0)/1440</f>
        <v>0</v>
      </c>
      <c r="X8" s="14" t="n">
        <f aca="false">IF(U8="SIM",MIN(V8,W8),0)</f>
        <v>0</v>
      </c>
      <c r="Y8" s="14" t="n">
        <f aca="false">S8+X8</f>
        <v>0</v>
      </c>
      <c r="Z8" s="14" t="n">
        <f aca="false">ROUND((W8+T8-X8)*1440,0)/1440</f>
        <v>0</v>
      </c>
    </row>
    <row r="9" customFormat="false" ht="18" hidden="false" customHeight="true" outlineLevel="0" collapsed="false">
      <c r="A9" s="16" t="n">
        <f aca="false">1_Ponto_Batido!A12</f>
        <v>46328</v>
      </c>
      <c r="B9" s="17" t="str">
        <f aca="false">IF(A9="","",CHOOSE(WEEKDAY(A9,2),"Segunda-feira","Terça-feira","Quarta-feira","Quinta-feira","Sexta-feira","Sábado","Domingo"))</f>
        <v>Segunda-feira</v>
      </c>
      <c r="C9" s="11"/>
      <c r="D9" s="10"/>
      <c r="E9" s="10"/>
      <c r="F9" s="27" t="str">
        <f aca="false">IF(A9="","",IF(C9&lt;&gt;"",C9,IF(1_Ponto_Batido!C12&lt;&gt;"","TRABALHO",IF(COUNTIF(Parametros!$A$35:$A$50,A9)&gt;0,"FERIADO",IF(WEEKDAY(A9,2)&gt;=6,"FOLGA","PREVISTO")))))</f>
        <v>FERIADO</v>
      </c>
      <c r="G9" s="28" t="str">
        <f aca="false">IF(OR(F9="TRABALHO",F9="PREVISTO",F9="FALTA"),IF(INDEX(Parametros!$B$25:$B$31,WEEKDAY(A9,2))&lt;&gt;"",INDEX(Parametros!$B$25:$B$31,WEEKDAY(A9,2)),""),"")</f>
        <v/>
      </c>
      <c r="H9" s="28" t="str">
        <f aca="false">IF(G9="","",INDEX(Parametros!$C$25:$C$31,WEEKDAY(A9,2)))</f>
        <v/>
      </c>
      <c r="I9" s="28" t="str">
        <f aca="false">IF(G9="","",INDEX(Parametros!$D$25:$D$31,WEEKDAY(A9,2)))</f>
        <v/>
      </c>
      <c r="J9" s="28" t="str">
        <f aca="false">IF(G9="","",IF(D9&lt;&gt;"",D9,INDEX(Parametros!$E$25:$E$31,WEEKDAY(A9,2))))</f>
        <v/>
      </c>
      <c r="K9" s="14" t="n">
        <f aca="false">IF(G9="",0,ROUND(IF(J9&lt;=H9,J9-G9,(J9-G9)-(I9-H9))*1440,0)/1440)</f>
        <v>0</v>
      </c>
      <c r="L9" s="28" t="str">
        <f aca="false">IF(F9&lt;&gt;"TRABALHO","",IF(1_Ponto_Batido!C12="","",1_Ponto_Batido!C12))</f>
        <v/>
      </c>
      <c r="M9" s="14" t="str">
        <f aca="false">IF(L9="","",IF(AND(1_Ponto_Batido!D12&lt;&gt;"",1_Ponto_Batido!E12&lt;&gt;""),1_Ponto_Batido!E12-1_Ponto_Batido!D12,IF(N9&gt;=I9,I9-H9,0)))</f>
        <v/>
      </c>
      <c r="N9" s="28" t="str">
        <f aca="false">IF(L9="","",IF(E9&lt;&gt;"",E9,MAX(1_Ponto_Batido!F12,1_Ponto_Batido!H12)))</f>
        <v/>
      </c>
      <c r="O9" s="14" t="n">
        <f aca="false">IF(F9="TRABALHO",IF(OR(L9="",N9=0),0,ROUND(MAX(0,(N9-L9)-M9)*1440,0)/1440),IF(F9="PREVISTO",K9,0))</f>
        <v>0</v>
      </c>
      <c r="P9" s="27" t="str">
        <f aca="false">IF(F9="TRABALHO",IF(OR(L9="",N9=0),"Ponto incompleto: falta entrada ou saída",IF(N9&lt;=L9,"Saída antes da entrada","")),"")</f>
        <v/>
      </c>
      <c r="Q9" s="14" t="n">
        <f aca="false">IF(OR(F9&lt;&gt;"TRABALHO",P9&lt;&gt;""),0,ROUND(MAX(0,O9-K9)*1440,0)/1440)</f>
        <v>0</v>
      </c>
      <c r="R9" s="14" t="n">
        <f aca="false">IF(F9="FALTA",K9,IF(AND(F9="TRABALHO",P9=""),ROUND(MAX(0,K9-O9)*1440,0)/1440,0))</f>
        <v>0</v>
      </c>
      <c r="S9" s="14" t="n">
        <f aca="false">IF(Q9=0,0,IF(AND(D9&lt;&gt;"",Parametros!$B$20="NÃO"),0,MIN(Q9,Parametros!$B$19)))</f>
        <v>0</v>
      </c>
      <c r="T9" s="14" t="n">
        <f aca="false">ROUND((Q9-S9)*1440,0)/1440</f>
        <v>0</v>
      </c>
      <c r="U9" s="27" t="str">
        <f aca="false">IF(AND(OR(F9="TRABALHO",F9="PREVISTO"),D9="",R9=0,P9=""),"SIM","NÃO")</f>
        <v>NÃO</v>
      </c>
      <c r="V9" s="14" t="n">
        <f aca="false">IF(U9="SIM",MAX(0,Parametros!$B$19-S9),0)</f>
        <v>0</v>
      </c>
      <c r="W9" s="14" t="n">
        <f aca="false">ROUND((SUM(T$7:T8)-SUM(X$7:X8))*1440,0)/1440</f>
        <v>0</v>
      </c>
      <c r="X9" s="14" t="n">
        <f aca="false">IF(U9="SIM",MIN(V9,W9),0)</f>
        <v>0</v>
      </c>
      <c r="Y9" s="14" t="n">
        <f aca="false">S9+X9</f>
        <v>0</v>
      </c>
      <c r="Z9" s="14" t="n">
        <f aca="false">ROUND((W9+T9-X9)*1440,0)/1440</f>
        <v>0</v>
      </c>
    </row>
    <row r="10" customFormat="false" ht="18" hidden="false" customHeight="true" outlineLevel="0" collapsed="false">
      <c r="A10" s="16" t="n">
        <f aca="false">1_Ponto_Batido!A13</f>
        <v>46329</v>
      </c>
      <c r="B10" s="17" t="str">
        <f aca="false">IF(A10="","",CHOOSE(WEEKDAY(A10,2),"Segunda-feira","Terça-feira","Quarta-feira","Quinta-feira","Sexta-feira","Sábado","Domingo"))</f>
        <v>Terça-feira</v>
      </c>
      <c r="C10" s="11"/>
      <c r="D10" s="10"/>
      <c r="E10" s="10"/>
      <c r="F10" s="27" t="str">
        <f aca="false">IF(A10="","",IF(C10&lt;&gt;"",C10,IF(1_Ponto_Batido!C13&lt;&gt;"","TRABALHO",IF(COUNTIF(Parametros!$A$35:$A$50,A10)&gt;0,"FERIADO",IF(WEEKDAY(A10,2)&gt;=6,"FOLGA","PREVISTO")))))</f>
        <v>PREVISTO</v>
      </c>
      <c r="G10" s="28" t="n">
        <f aca="false">IF(OR(F10="TRABALHO",F10="PREVISTO",F10="FALTA"),IF(INDEX(Parametros!$B$25:$B$31,WEEKDAY(A10,2))&lt;&gt;"",INDEX(Parametros!$B$25:$B$31,WEEKDAY(A10,2)),""),"")</f>
        <v>0.333333333333333</v>
      </c>
      <c r="H10" s="28" t="n">
        <f aca="false">IF(G10="","",INDEX(Parametros!$C$25:$C$31,WEEKDAY(A10,2)))</f>
        <v>0.5</v>
      </c>
      <c r="I10" s="28" t="n">
        <f aca="false">IF(G10="","",INDEX(Parametros!$D$25:$D$31,WEEKDAY(A10,2)))</f>
        <v>0.541666666666667</v>
      </c>
      <c r="J10" s="28" t="n">
        <f aca="false">IF(G10="","",IF(D10&lt;&gt;"",D10,INDEX(Parametros!$E$25:$E$31,WEEKDAY(A10,2))))</f>
        <v>0.708333333333333</v>
      </c>
      <c r="K10" s="14" t="n">
        <f aca="false">IF(G10="",0,ROUND(IF(J10&lt;=H10,J10-G10,(J10-G10)-(I10-H10))*1440,0)/1440)</f>
        <v>0.333333333333333</v>
      </c>
      <c r="L10" s="28" t="str">
        <f aca="false">IF(F10&lt;&gt;"TRABALHO","",IF(1_Ponto_Batido!C13="","",1_Ponto_Batido!C13))</f>
        <v/>
      </c>
      <c r="M10" s="14" t="str">
        <f aca="false">IF(L10="","",IF(AND(1_Ponto_Batido!D13&lt;&gt;"",1_Ponto_Batido!E13&lt;&gt;""),1_Ponto_Batido!E13-1_Ponto_Batido!D13,IF(N10&gt;=I10,I10-H10,0)))</f>
        <v/>
      </c>
      <c r="N10" s="28" t="str">
        <f aca="false">IF(L10="","",IF(E10&lt;&gt;"",E10,MAX(1_Ponto_Batido!F13,1_Ponto_Batido!H13)))</f>
        <v/>
      </c>
      <c r="O10" s="14" t="n">
        <f aca="false">IF(F10="TRABALHO",IF(OR(L10="",N10=0),0,ROUND(MAX(0,(N10-L10)-M10)*1440,0)/1440),IF(F10="PREVISTO",K10,0))</f>
        <v>0.333333333333333</v>
      </c>
      <c r="P10" s="27" t="str">
        <f aca="false">IF(F10="TRABALHO",IF(OR(L10="",N10=0),"Ponto incompleto: falta entrada ou saída",IF(N10&lt;=L10,"Saída antes da entrada","")),"")</f>
        <v/>
      </c>
      <c r="Q10" s="14" t="n">
        <f aca="false">IF(OR(F10&lt;&gt;"TRABALHO",P10&lt;&gt;""),0,ROUND(MAX(0,O10-K10)*1440,0)/1440)</f>
        <v>0</v>
      </c>
      <c r="R10" s="14" t="n">
        <f aca="false">IF(F10="FALTA",K10,IF(AND(F10="TRABALHO",P10=""),ROUND(MAX(0,K10-O10)*1440,0)/1440,0))</f>
        <v>0</v>
      </c>
      <c r="S10" s="14" t="n">
        <f aca="false">IF(Q10=0,0,IF(AND(D10&lt;&gt;"",Parametros!$B$20="NÃO"),0,MIN(Q10,Parametros!$B$19)))</f>
        <v>0</v>
      </c>
      <c r="T10" s="14" t="n">
        <f aca="false">ROUND((Q10-S10)*1440,0)/1440</f>
        <v>0</v>
      </c>
      <c r="U10" s="27" t="str">
        <f aca="false">IF(AND(OR(F10="TRABALHO",F10="PREVISTO"),D10="",R10=0,P10=""),"SIM","NÃO")</f>
        <v>SIM</v>
      </c>
      <c r="V10" s="14" t="n">
        <f aca="false">IF(U10="SIM",MAX(0,Parametros!$B$19-S10),0)</f>
        <v>0.0833333333333333</v>
      </c>
      <c r="W10" s="14" t="n">
        <f aca="false">ROUND((SUM(T$7:T9)-SUM(X$7:X9))*1440,0)/1440</f>
        <v>0</v>
      </c>
      <c r="X10" s="14" t="n">
        <f aca="false">IF(U10="SIM",MIN(V10,W10),0)</f>
        <v>0</v>
      </c>
      <c r="Y10" s="14" t="n">
        <f aca="false">S10+X10</f>
        <v>0</v>
      </c>
      <c r="Z10" s="14" t="n">
        <f aca="false">ROUND((W10+T10-X10)*1440,0)/1440</f>
        <v>0</v>
      </c>
    </row>
    <row r="11" customFormat="false" ht="18" hidden="false" customHeight="true" outlineLevel="0" collapsed="false">
      <c r="A11" s="16" t="n">
        <f aca="false">1_Ponto_Batido!A14</f>
        <v>46330</v>
      </c>
      <c r="B11" s="17" t="str">
        <f aca="false">IF(A11="","",CHOOSE(WEEKDAY(A11,2),"Segunda-feira","Terça-feira","Quarta-feira","Quinta-feira","Sexta-feira","Sábado","Domingo"))</f>
        <v>Quarta-feira</v>
      </c>
      <c r="C11" s="11"/>
      <c r="D11" s="10"/>
      <c r="E11" s="10"/>
      <c r="F11" s="27" t="str">
        <f aca="false">IF(A11="","",IF(C11&lt;&gt;"",C11,IF(1_Ponto_Batido!C14&lt;&gt;"","TRABALHO",IF(COUNTIF(Parametros!$A$35:$A$50,A11)&gt;0,"FERIADO",IF(WEEKDAY(A11,2)&gt;=6,"FOLGA","PREVISTO")))))</f>
        <v>PREVISTO</v>
      </c>
      <c r="G11" s="28" t="n">
        <f aca="false">IF(OR(F11="TRABALHO",F11="PREVISTO",F11="FALTA"),IF(INDEX(Parametros!$B$25:$B$31,WEEKDAY(A11,2))&lt;&gt;"",INDEX(Parametros!$B$25:$B$31,WEEKDAY(A11,2)),""),"")</f>
        <v>0.333333333333333</v>
      </c>
      <c r="H11" s="28" t="n">
        <f aca="false">IF(G11="","",INDEX(Parametros!$C$25:$C$31,WEEKDAY(A11,2)))</f>
        <v>0.5</v>
      </c>
      <c r="I11" s="28" t="n">
        <f aca="false">IF(G11="","",INDEX(Parametros!$D$25:$D$31,WEEKDAY(A11,2)))</f>
        <v>0.541666666666667</v>
      </c>
      <c r="J11" s="28" t="n">
        <f aca="false">IF(G11="","",IF(D11&lt;&gt;"",D11,INDEX(Parametros!$E$25:$E$31,WEEKDAY(A11,2))))</f>
        <v>0.708333333333333</v>
      </c>
      <c r="K11" s="14" t="n">
        <f aca="false">IF(G11="",0,ROUND(IF(J11&lt;=H11,J11-G11,(J11-G11)-(I11-H11))*1440,0)/1440)</f>
        <v>0.333333333333333</v>
      </c>
      <c r="L11" s="28" t="str">
        <f aca="false">IF(F11&lt;&gt;"TRABALHO","",IF(1_Ponto_Batido!C14="","",1_Ponto_Batido!C14))</f>
        <v/>
      </c>
      <c r="M11" s="14" t="str">
        <f aca="false">IF(L11="","",IF(AND(1_Ponto_Batido!D14&lt;&gt;"",1_Ponto_Batido!E14&lt;&gt;""),1_Ponto_Batido!E14-1_Ponto_Batido!D14,IF(N11&gt;=I11,I11-H11,0)))</f>
        <v/>
      </c>
      <c r="N11" s="28" t="str">
        <f aca="false">IF(L11="","",IF(E11&lt;&gt;"",E11,MAX(1_Ponto_Batido!F14,1_Ponto_Batido!H14)))</f>
        <v/>
      </c>
      <c r="O11" s="14" t="n">
        <f aca="false">IF(F11="TRABALHO",IF(OR(L11="",N11=0),0,ROUND(MAX(0,(N11-L11)-M11)*1440,0)/1440),IF(F11="PREVISTO",K11,0))</f>
        <v>0.333333333333333</v>
      </c>
      <c r="P11" s="27" t="str">
        <f aca="false">IF(F11="TRABALHO",IF(OR(L11="",N11=0),"Ponto incompleto: falta entrada ou saída",IF(N11&lt;=L11,"Saída antes da entrada","")),"")</f>
        <v/>
      </c>
      <c r="Q11" s="14" t="n">
        <f aca="false">IF(OR(F11&lt;&gt;"TRABALHO",P11&lt;&gt;""),0,ROUND(MAX(0,O11-K11)*1440,0)/1440)</f>
        <v>0</v>
      </c>
      <c r="R11" s="14" t="n">
        <f aca="false">IF(F11="FALTA",K11,IF(AND(F11="TRABALHO",P11=""),ROUND(MAX(0,K11-O11)*1440,0)/1440,0))</f>
        <v>0</v>
      </c>
      <c r="S11" s="14" t="n">
        <f aca="false">IF(Q11=0,0,IF(AND(D11&lt;&gt;"",Parametros!$B$20="NÃO"),0,MIN(Q11,Parametros!$B$19)))</f>
        <v>0</v>
      </c>
      <c r="T11" s="14" t="n">
        <f aca="false">ROUND((Q11-S11)*1440,0)/1440</f>
        <v>0</v>
      </c>
      <c r="U11" s="27" t="str">
        <f aca="false">IF(AND(OR(F11="TRABALHO",F11="PREVISTO"),D11="",R11=0,P11=""),"SIM","NÃO")</f>
        <v>SIM</v>
      </c>
      <c r="V11" s="14" t="n">
        <f aca="false">IF(U11="SIM",MAX(0,Parametros!$B$19-S11),0)</f>
        <v>0.0833333333333333</v>
      </c>
      <c r="W11" s="14" t="n">
        <f aca="false">ROUND((SUM(T$7:T10)-SUM(X$7:X10))*1440,0)/1440</f>
        <v>0</v>
      </c>
      <c r="X11" s="14" t="n">
        <f aca="false">IF(U11="SIM",MIN(V11,W11),0)</f>
        <v>0</v>
      </c>
      <c r="Y11" s="14" t="n">
        <f aca="false">S11+X11</f>
        <v>0</v>
      </c>
      <c r="Z11" s="14" t="n">
        <f aca="false">ROUND((W11+T11-X11)*1440,0)/1440</f>
        <v>0</v>
      </c>
    </row>
    <row r="12" customFormat="false" ht="18" hidden="false" customHeight="true" outlineLevel="0" collapsed="false">
      <c r="A12" s="16" t="n">
        <f aca="false">1_Ponto_Batido!A15</f>
        <v>46331</v>
      </c>
      <c r="B12" s="17" t="str">
        <f aca="false">IF(A12="","",CHOOSE(WEEKDAY(A12,2),"Segunda-feira","Terça-feira","Quarta-feira","Quinta-feira","Sexta-feira","Sábado","Domingo"))</f>
        <v>Quinta-feira</v>
      </c>
      <c r="C12" s="11"/>
      <c r="D12" s="10"/>
      <c r="E12" s="10"/>
      <c r="F12" s="27" t="str">
        <f aca="false">IF(A12="","",IF(C12&lt;&gt;"",C12,IF(1_Ponto_Batido!C15&lt;&gt;"","TRABALHO",IF(COUNTIF(Parametros!$A$35:$A$50,A12)&gt;0,"FERIADO",IF(WEEKDAY(A12,2)&gt;=6,"FOLGA","PREVISTO")))))</f>
        <v>PREVISTO</v>
      </c>
      <c r="G12" s="28" t="n">
        <f aca="false">IF(OR(F12="TRABALHO",F12="PREVISTO",F12="FALTA"),IF(INDEX(Parametros!$B$25:$B$31,WEEKDAY(A12,2))&lt;&gt;"",INDEX(Parametros!$B$25:$B$31,WEEKDAY(A12,2)),""),"")</f>
        <v>0.333333333333333</v>
      </c>
      <c r="H12" s="28" t="n">
        <f aca="false">IF(G12="","",INDEX(Parametros!$C$25:$C$31,WEEKDAY(A12,2)))</f>
        <v>0.5</v>
      </c>
      <c r="I12" s="28" t="n">
        <f aca="false">IF(G12="","",INDEX(Parametros!$D$25:$D$31,WEEKDAY(A12,2)))</f>
        <v>0.541666666666667</v>
      </c>
      <c r="J12" s="28" t="n">
        <f aca="false">IF(G12="","",IF(D12&lt;&gt;"",D12,INDEX(Parametros!$E$25:$E$31,WEEKDAY(A12,2))))</f>
        <v>0.708333333333333</v>
      </c>
      <c r="K12" s="14" t="n">
        <f aca="false">IF(G12="",0,ROUND(IF(J12&lt;=H12,J12-G12,(J12-G12)-(I12-H12))*1440,0)/1440)</f>
        <v>0.333333333333333</v>
      </c>
      <c r="L12" s="28" t="str">
        <f aca="false">IF(F12&lt;&gt;"TRABALHO","",IF(1_Ponto_Batido!C15="","",1_Ponto_Batido!C15))</f>
        <v/>
      </c>
      <c r="M12" s="14" t="str">
        <f aca="false">IF(L12="","",IF(AND(1_Ponto_Batido!D15&lt;&gt;"",1_Ponto_Batido!E15&lt;&gt;""),1_Ponto_Batido!E15-1_Ponto_Batido!D15,IF(N12&gt;=I12,I12-H12,0)))</f>
        <v/>
      </c>
      <c r="N12" s="28" t="str">
        <f aca="false">IF(L12="","",IF(E12&lt;&gt;"",E12,MAX(1_Ponto_Batido!F15,1_Ponto_Batido!H15)))</f>
        <v/>
      </c>
      <c r="O12" s="14" t="n">
        <f aca="false">IF(F12="TRABALHO",IF(OR(L12="",N12=0),0,ROUND(MAX(0,(N12-L12)-M12)*1440,0)/1440),IF(F12="PREVISTO",K12,0))</f>
        <v>0.333333333333333</v>
      </c>
      <c r="P12" s="27" t="str">
        <f aca="false">IF(F12="TRABALHO",IF(OR(L12="",N12=0),"Ponto incompleto: falta entrada ou saída",IF(N12&lt;=L12,"Saída antes da entrada","")),"")</f>
        <v/>
      </c>
      <c r="Q12" s="14" t="n">
        <f aca="false">IF(OR(F12&lt;&gt;"TRABALHO",P12&lt;&gt;""),0,ROUND(MAX(0,O12-K12)*1440,0)/1440)</f>
        <v>0</v>
      </c>
      <c r="R12" s="14" t="n">
        <f aca="false">IF(F12="FALTA",K12,IF(AND(F12="TRABALHO",P12=""),ROUND(MAX(0,K12-O12)*1440,0)/1440,0))</f>
        <v>0</v>
      </c>
      <c r="S12" s="14" t="n">
        <f aca="false">IF(Q12=0,0,IF(AND(D12&lt;&gt;"",Parametros!$B$20="NÃO"),0,MIN(Q12,Parametros!$B$19)))</f>
        <v>0</v>
      </c>
      <c r="T12" s="14" t="n">
        <f aca="false">ROUND((Q12-S12)*1440,0)/1440</f>
        <v>0</v>
      </c>
      <c r="U12" s="27" t="str">
        <f aca="false">IF(AND(OR(F12="TRABALHO",F12="PREVISTO"),D12="",R12=0,P12=""),"SIM","NÃO")</f>
        <v>SIM</v>
      </c>
      <c r="V12" s="14" t="n">
        <f aca="false">IF(U12="SIM",MAX(0,Parametros!$B$19-S12),0)</f>
        <v>0.0833333333333333</v>
      </c>
      <c r="W12" s="14" t="n">
        <f aca="false">ROUND((SUM(T$7:T11)-SUM(X$7:X11))*1440,0)/1440</f>
        <v>0</v>
      </c>
      <c r="X12" s="14" t="n">
        <f aca="false">IF(U12="SIM",MIN(V12,W12),0)</f>
        <v>0</v>
      </c>
      <c r="Y12" s="14" t="n">
        <f aca="false">S12+X12</f>
        <v>0</v>
      </c>
      <c r="Z12" s="14" t="n">
        <f aca="false">ROUND((W12+T12-X12)*1440,0)/1440</f>
        <v>0</v>
      </c>
    </row>
    <row r="13" customFormat="false" ht="18" hidden="false" customHeight="true" outlineLevel="0" collapsed="false">
      <c r="A13" s="16" t="n">
        <f aca="false">1_Ponto_Batido!A16</f>
        <v>46332</v>
      </c>
      <c r="B13" s="17" t="str">
        <f aca="false">IF(A13="","",CHOOSE(WEEKDAY(A13,2),"Segunda-feira","Terça-feira","Quarta-feira","Quinta-feira","Sexta-feira","Sábado","Domingo"))</f>
        <v>Sexta-feira</v>
      </c>
      <c r="C13" s="11"/>
      <c r="D13" s="10"/>
      <c r="E13" s="10"/>
      <c r="F13" s="27" t="str">
        <f aca="false">IF(A13="","",IF(C13&lt;&gt;"",C13,IF(1_Ponto_Batido!C16&lt;&gt;"","TRABALHO",IF(COUNTIF(Parametros!$A$35:$A$50,A13)&gt;0,"FERIADO",IF(WEEKDAY(A13,2)&gt;=6,"FOLGA","PREVISTO")))))</f>
        <v>PREVISTO</v>
      </c>
      <c r="G13" s="28" t="n">
        <f aca="false">IF(OR(F13="TRABALHO",F13="PREVISTO",F13="FALTA"),IF(INDEX(Parametros!$B$25:$B$31,WEEKDAY(A13,2))&lt;&gt;"",INDEX(Parametros!$B$25:$B$31,WEEKDAY(A13,2)),""),"")</f>
        <v>0.333333333333333</v>
      </c>
      <c r="H13" s="28" t="n">
        <f aca="false">IF(G13="","",INDEX(Parametros!$C$25:$C$31,WEEKDAY(A13,2)))</f>
        <v>0.5</v>
      </c>
      <c r="I13" s="28" t="n">
        <f aca="false">IF(G13="","",INDEX(Parametros!$D$25:$D$31,WEEKDAY(A13,2)))</f>
        <v>0.541666666666667</v>
      </c>
      <c r="J13" s="28" t="n">
        <f aca="false">IF(G13="","",IF(D13&lt;&gt;"",D13,INDEX(Parametros!$E$25:$E$31,WEEKDAY(A13,2))))</f>
        <v>0.708333333333333</v>
      </c>
      <c r="K13" s="14" t="n">
        <f aca="false">IF(G13="",0,ROUND(IF(J13&lt;=H13,J13-G13,(J13-G13)-(I13-H13))*1440,0)/1440)</f>
        <v>0.333333333333333</v>
      </c>
      <c r="L13" s="28" t="str">
        <f aca="false">IF(F13&lt;&gt;"TRABALHO","",IF(1_Ponto_Batido!C16="","",1_Ponto_Batido!C16))</f>
        <v/>
      </c>
      <c r="M13" s="14" t="str">
        <f aca="false">IF(L13="","",IF(AND(1_Ponto_Batido!D16&lt;&gt;"",1_Ponto_Batido!E16&lt;&gt;""),1_Ponto_Batido!E16-1_Ponto_Batido!D16,IF(N13&gt;=I13,I13-H13,0)))</f>
        <v/>
      </c>
      <c r="N13" s="28" t="str">
        <f aca="false">IF(L13="","",IF(E13&lt;&gt;"",E13,MAX(1_Ponto_Batido!F16,1_Ponto_Batido!H16)))</f>
        <v/>
      </c>
      <c r="O13" s="14" t="n">
        <f aca="false">IF(F13="TRABALHO",IF(OR(L13="",N13=0),0,ROUND(MAX(0,(N13-L13)-M13)*1440,0)/1440),IF(F13="PREVISTO",K13,0))</f>
        <v>0.333333333333333</v>
      </c>
      <c r="P13" s="27" t="str">
        <f aca="false">IF(F13="TRABALHO",IF(OR(L13="",N13=0),"Ponto incompleto: falta entrada ou saída",IF(N13&lt;=L13,"Saída antes da entrada","")),"")</f>
        <v/>
      </c>
      <c r="Q13" s="14" t="n">
        <f aca="false">IF(OR(F13&lt;&gt;"TRABALHO",P13&lt;&gt;""),0,ROUND(MAX(0,O13-K13)*1440,0)/1440)</f>
        <v>0</v>
      </c>
      <c r="R13" s="14" t="n">
        <f aca="false">IF(F13="FALTA",K13,IF(AND(F13="TRABALHO",P13=""),ROUND(MAX(0,K13-O13)*1440,0)/1440,0))</f>
        <v>0</v>
      </c>
      <c r="S13" s="14" t="n">
        <f aca="false">IF(Q13=0,0,IF(AND(D13&lt;&gt;"",Parametros!$B$20="NÃO"),0,MIN(Q13,Parametros!$B$19)))</f>
        <v>0</v>
      </c>
      <c r="T13" s="14" t="n">
        <f aca="false">ROUND((Q13-S13)*1440,0)/1440</f>
        <v>0</v>
      </c>
      <c r="U13" s="27" t="str">
        <f aca="false">IF(AND(OR(F13="TRABALHO",F13="PREVISTO"),D13="",R13=0,P13=""),"SIM","NÃO")</f>
        <v>SIM</v>
      </c>
      <c r="V13" s="14" t="n">
        <f aca="false">IF(U13="SIM",MAX(0,Parametros!$B$19-S13),0)</f>
        <v>0.0833333333333333</v>
      </c>
      <c r="W13" s="14" t="n">
        <f aca="false">ROUND((SUM(T$7:T12)-SUM(X$7:X12))*1440,0)/1440</f>
        <v>0</v>
      </c>
      <c r="X13" s="14" t="n">
        <f aca="false">IF(U13="SIM",MIN(V13,W13),0)</f>
        <v>0</v>
      </c>
      <c r="Y13" s="14" t="n">
        <f aca="false">S13+X13</f>
        <v>0</v>
      </c>
      <c r="Z13" s="14" t="n">
        <f aca="false">ROUND((W13+T13-X13)*1440,0)/1440</f>
        <v>0</v>
      </c>
    </row>
    <row r="14" customFormat="false" ht="18" hidden="false" customHeight="true" outlineLevel="0" collapsed="false">
      <c r="A14" s="16" t="n">
        <f aca="false">1_Ponto_Batido!A17</f>
        <v>46333</v>
      </c>
      <c r="B14" s="17" t="str">
        <f aca="false">IF(A14="","",CHOOSE(WEEKDAY(A14,2),"Segunda-feira","Terça-feira","Quarta-feira","Quinta-feira","Sexta-feira","Sábado","Domingo"))</f>
        <v>Sábado</v>
      </c>
      <c r="C14" s="11"/>
      <c r="D14" s="10"/>
      <c r="E14" s="10"/>
      <c r="F14" s="27" t="str">
        <f aca="false">IF(A14="","",IF(C14&lt;&gt;"",C14,IF(1_Ponto_Batido!C17&lt;&gt;"","TRABALHO",IF(COUNTIF(Parametros!$A$35:$A$50,A14)&gt;0,"FERIADO",IF(WEEKDAY(A14,2)&gt;=6,"FOLGA","PREVISTO")))))</f>
        <v>FOLGA</v>
      </c>
      <c r="G14" s="28" t="str">
        <f aca="false">IF(OR(F14="TRABALHO",F14="PREVISTO",F14="FALTA"),IF(INDEX(Parametros!$B$25:$B$31,WEEKDAY(A14,2))&lt;&gt;"",INDEX(Parametros!$B$25:$B$31,WEEKDAY(A14,2)),""),"")</f>
        <v/>
      </c>
      <c r="H14" s="28" t="str">
        <f aca="false">IF(G14="","",INDEX(Parametros!$C$25:$C$31,WEEKDAY(A14,2)))</f>
        <v/>
      </c>
      <c r="I14" s="28" t="str">
        <f aca="false">IF(G14="","",INDEX(Parametros!$D$25:$D$31,WEEKDAY(A14,2)))</f>
        <v/>
      </c>
      <c r="J14" s="28" t="str">
        <f aca="false">IF(G14="","",IF(D14&lt;&gt;"",D14,INDEX(Parametros!$E$25:$E$31,WEEKDAY(A14,2))))</f>
        <v/>
      </c>
      <c r="K14" s="14" t="n">
        <f aca="false">IF(G14="",0,ROUND(IF(J14&lt;=H14,J14-G14,(J14-G14)-(I14-H14))*1440,0)/1440)</f>
        <v>0</v>
      </c>
      <c r="L14" s="28" t="str">
        <f aca="false">IF(F14&lt;&gt;"TRABALHO","",IF(1_Ponto_Batido!C17="","",1_Ponto_Batido!C17))</f>
        <v/>
      </c>
      <c r="M14" s="14" t="str">
        <f aca="false">IF(L14="","",IF(AND(1_Ponto_Batido!D17&lt;&gt;"",1_Ponto_Batido!E17&lt;&gt;""),1_Ponto_Batido!E17-1_Ponto_Batido!D17,IF(N14&gt;=I14,I14-H14,0)))</f>
        <v/>
      </c>
      <c r="N14" s="28" t="str">
        <f aca="false">IF(L14="","",IF(E14&lt;&gt;"",E14,MAX(1_Ponto_Batido!F17,1_Ponto_Batido!H17)))</f>
        <v/>
      </c>
      <c r="O14" s="14" t="n">
        <f aca="false">IF(F14="TRABALHO",IF(OR(L14="",N14=0),0,ROUND(MAX(0,(N14-L14)-M14)*1440,0)/1440),IF(F14="PREVISTO",K14,0))</f>
        <v>0</v>
      </c>
      <c r="P14" s="27" t="str">
        <f aca="false">IF(F14="TRABALHO",IF(OR(L14="",N14=0),"Ponto incompleto: falta entrada ou saída",IF(N14&lt;=L14,"Saída antes da entrada","")),"")</f>
        <v/>
      </c>
      <c r="Q14" s="14" t="n">
        <f aca="false">IF(OR(F14&lt;&gt;"TRABALHO",P14&lt;&gt;""),0,ROUND(MAX(0,O14-K14)*1440,0)/1440)</f>
        <v>0</v>
      </c>
      <c r="R14" s="14" t="n">
        <f aca="false">IF(F14="FALTA",K14,IF(AND(F14="TRABALHO",P14=""),ROUND(MAX(0,K14-O14)*1440,0)/1440,0))</f>
        <v>0</v>
      </c>
      <c r="S14" s="14" t="n">
        <f aca="false">IF(Q14=0,0,IF(AND(D14&lt;&gt;"",Parametros!$B$20="NÃO"),0,MIN(Q14,Parametros!$B$19)))</f>
        <v>0</v>
      </c>
      <c r="T14" s="14" t="n">
        <f aca="false">ROUND((Q14-S14)*1440,0)/1440</f>
        <v>0</v>
      </c>
      <c r="U14" s="27" t="str">
        <f aca="false">IF(AND(OR(F14="TRABALHO",F14="PREVISTO"),D14="",R14=0,P14=""),"SIM","NÃO")</f>
        <v>NÃO</v>
      </c>
      <c r="V14" s="14" t="n">
        <f aca="false">IF(U14="SIM",MAX(0,Parametros!$B$19-S14),0)</f>
        <v>0</v>
      </c>
      <c r="W14" s="14" t="n">
        <f aca="false">ROUND((SUM(T$7:T13)-SUM(X$7:X13))*1440,0)/1440</f>
        <v>0</v>
      </c>
      <c r="X14" s="14" t="n">
        <f aca="false">IF(U14="SIM",MIN(V14,W14),0)</f>
        <v>0</v>
      </c>
      <c r="Y14" s="14" t="n">
        <f aca="false">S14+X14</f>
        <v>0</v>
      </c>
      <c r="Z14" s="14" t="n">
        <f aca="false">ROUND((W14+T14-X14)*1440,0)/1440</f>
        <v>0</v>
      </c>
    </row>
    <row r="15" customFormat="false" ht="18" hidden="false" customHeight="true" outlineLevel="0" collapsed="false">
      <c r="A15" s="16" t="n">
        <f aca="false">1_Ponto_Batido!A18</f>
        <v>46334</v>
      </c>
      <c r="B15" s="17" t="str">
        <f aca="false">IF(A15="","",CHOOSE(WEEKDAY(A15,2),"Segunda-feira","Terça-feira","Quarta-feira","Quinta-feira","Sexta-feira","Sábado","Domingo"))</f>
        <v>Domingo</v>
      </c>
      <c r="C15" s="11"/>
      <c r="D15" s="10"/>
      <c r="E15" s="10"/>
      <c r="F15" s="27" t="str">
        <f aca="false">IF(A15="","",IF(C15&lt;&gt;"",C15,IF(1_Ponto_Batido!C18&lt;&gt;"","TRABALHO",IF(COUNTIF(Parametros!$A$35:$A$50,A15)&gt;0,"FERIADO",IF(WEEKDAY(A15,2)&gt;=6,"FOLGA","PREVISTO")))))</f>
        <v>FOLGA</v>
      </c>
      <c r="G15" s="28" t="str">
        <f aca="false">IF(OR(F15="TRABALHO",F15="PREVISTO",F15="FALTA"),IF(INDEX(Parametros!$B$25:$B$31,WEEKDAY(A15,2))&lt;&gt;"",INDEX(Parametros!$B$25:$B$31,WEEKDAY(A15,2)),""),"")</f>
        <v/>
      </c>
      <c r="H15" s="28" t="str">
        <f aca="false">IF(G15="","",INDEX(Parametros!$C$25:$C$31,WEEKDAY(A15,2)))</f>
        <v/>
      </c>
      <c r="I15" s="28" t="str">
        <f aca="false">IF(G15="","",INDEX(Parametros!$D$25:$D$31,WEEKDAY(A15,2)))</f>
        <v/>
      </c>
      <c r="J15" s="28" t="str">
        <f aca="false">IF(G15="","",IF(D15&lt;&gt;"",D15,INDEX(Parametros!$E$25:$E$31,WEEKDAY(A15,2))))</f>
        <v/>
      </c>
      <c r="K15" s="14" t="n">
        <f aca="false">IF(G15="",0,ROUND(IF(J15&lt;=H15,J15-G15,(J15-G15)-(I15-H15))*1440,0)/1440)</f>
        <v>0</v>
      </c>
      <c r="L15" s="28" t="str">
        <f aca="false">IF(F15&lt;&gt;"TRABALHO","",IF(1_Ponto_Batido!C18="","",1_Ponto_Batido!C18))</f>
        <v/>
      </c>
      <c r="M15" s="14" t="str">
        <f aca="false">IF(L15="","",IF(AND(1_Ponto_Batido!D18&lt;&gt;"",1_Ponto_Batido!E18&lt;&gt;""),1_Ponto_Batido!E18-1_Ponto_Batido!D18,IF(N15&gt;=I15,I15-H15,0)))</f>
        <v/>
      </c>
      <c r="N15" s="28" t="str">
        <f aca="false">IF(L15="","",IF(E15&lt;&gt;"",E15,MAX(1_Ponto_Batido!F18,1_Ponto_Batido!H18)))</f>
        <v/>
      </c>
      <c r="O15" s="14" t="n">
        <f aca="false">IF(F15="TRABALHO",IF(OR(L15="",N15=0),0,ROUND(MAX(0,(N15-L15)-M15)*1440,0)/1440),IF(F15="PREVISTO",K15,0))</f>
        <v>0</v>
      </c>
      <c r="P15" s="27" t="str">
        <f aca="false">IF(F15="TRABALHO",IF(OR(L15="",N15=0),"Ponto incompleto: falta entrada ou saída",IF(N15&lt;=L15,"Saída antes da entrada","")),"")</f>
        <v/>
      </c>
      <c r="Q15" s="14" t="n">
        <f aca="false">IF(OR(F15&lt;&gt;"TRABALHO",P15&lt;&gt;""),0,ROUND(MAX(0,O15-K15)*1440,0)/1440)</f>
        <v>0</v>
      </c>
      <c r="R15" s="14" t="n">
        <f aca="false">IF(F15="FALTA",K15,IF(AND(F15="TRABALHO",P15=""),ROUND(MAX(0,K15-O15)*1440,0)/1440,0))</f>
        <v>0</v>
      </c>
      <c r="S15" s="14" t="n">
        <f aca="false">IF(Q15=0,0,IF(AND(D15&lt;&gt;"",Parametros!$B$20="NÃO"),0,MIN(Q15,Parametros!$B$19)))</f>
        <v>0</v>
      </c>
      <c r="T15" s="14" t="n">
        <f aca="false">ROUND((Q15-S15)*1440,0)/1440</f>
        <v>0</v>
      </c>
      <c r="U15" s="27" t="str">
        <f aca="false">IF(AND(OR(F15="TRABALHO",F15="PREVISTO"),D15="",R15=0,P15=""),"SIM","NÃO")</f>
        <v>NÃO</v>
      </c>
      <c r="V15" s="14" t="n">
        <f aca="false">IF(U15="SIM",MAX(0,Parametros!$B$19-S15),0)</f>
        <v>0</v>
      </c>
      <c r="W15" s="14" t="n">
        <f aca="false">ROUND((SUM(T$7:T14)-SUM(X$7:X14))*1440,0)/1440</f>
        <v>0</v>
      </c>
      <c r="X15" s="14" t="n">
        <f aca="false">IF(U15="SIM",MIN(V15,W15),0)</f>
        <v>0</v>
      </c>
      <c r="Y15" s="14" t="n">
        <f aca="false">S15+X15</f>
        <v>0</v>
      </c>
      <c r="Z15" s="14" t="n">
        <f aca="false">ROUND((W15+T15-X15)*1440,0)/1440</f>
        <v>0</v>
      </c>
    </row>
    <row r="16" customFormat="false" ht="18" hidden="false" customHeight="true" outlineLevel="0" collapsed="false">
      <c r="A16" s="16" t="n">
        <f aca="false">1_Ponto_Batido!A19</f>
        <v>46335</v>
      </c>
      <c r="B16" s="17" t="str">
        <f aca="false">IF(A16="","",CHOOSE(WEEKDAY(A16,2),"Segunda-feira","Terça-feira","Quarta-feira","Quinta-feira","Sexta-feira","Sábado","Domingo"))</f>
        <v>Segunda-feira</v>
      </c>
      <c r="C16" s="11"/>
      <c r="D16" s="10"/>
      <c r="E16" s="10"/>
      <c r="F16" s="27" t="str">
        <f aca="false">IF(A16="","",IF(C16&lt;&gt;"",C16,IF(1_Ponto_Batido!C19&lt;&gt;"","TRABALHO",IF(COUNTIF(Parametros!$A$35:$A$50,A16)&gt;0,"FERIADO",IF(WEEKDAY(A16,2)&gt;=6,"FOLGA","PREVISTO")))))</f>
        <v>PREVISTO</v>
      </c>
      <c r="G16" s="28" t="n">
        <f aca="false">IF(OR(F16="TRABALHO",F16="PREVISTO",F16="FALTA"),IF(INDEX(Parametros!$B$25:$B$31,WEEKDAY(A16,2))&lt;&gt;"",INDEX(Parametros!$B$25:$B$31,WEEKDAY(A16,2)),""),"")</f>
        <v>0.333333333333333</v>
      </c>
      <c r="H16" s="28" t="n">
        <f aca="false">IF(G16="","",INDEX(Parametros!$C$25:$C$31,WEEKDAY(A16,2)))</f>
        <v>0.5</v>
      </c>
      <c r="I16" s="28" t="n">
        <f aca="false">IF(G16="","",INDEX(Parametros!$D$25:$D$31,WEEKDAY(A16,2)))</f>
        <v>0.541666666666667</v>
      </c>
      <c r="J16" s="28" t="n">
        <f aca="false">IF(G16="","",IF(D16&lt;&gt;"",D16,INDEX(Parametros!$E$25:$E$31,WEEKDAY(A16,2))))</f>
        <v>0.708333333333333</v>
      </c>
      <c r="K16" s="14" t="n">
        <f aca="false">IF(G16="",0,ROUND(IF(J16&lt;=H16,J16-G16,(J16-G16)-(I16-H16))*1440,0)/1440)</f>
        <v>0.333333333333333</v>
      </c>
      <c r="L16" s="28" t="str">
        <f aca="false">IF(F16&lt;&gt;"TRABALHO","",IF(1_Ponto_Batido!C19="","",1_Ponto_Batido!C19))</f>
        <v/>
      </c>
      <c r="M16" s="14" t="str">
        <f aca="false">IF(L16="","",IF(AND(1_Ponto_Batido!D19&lt;&gt;"",1_Ponto_Batido!E19&lt;&gt;""),1_Ponto_Batido!E19-1_Ponto_Batido!D19,IF(N16&gt;=I16,I16-H16,0)))</f>
        <v/>
      </c>
      <c r="N16" s="28" t="str">
        <f aca="false">IF(L16="","",IF(E16&lt;&gt;"",E16,MAX(1_Ponto_Batido!F19,1_Ponto_Batido!H19)))</f>
        <v/>
      </c>
      <c r="O16" s="14" t="n">
        <f aca="false">IF(F16="TRABALHO",IF(OR(L16="",N16=0),0,ROUND(MAX(0,(N16-L16)-M16)*1440,0)/1440),IF(F16="PREVISTO",K16,0))</f>
        <v>0.333333333333333</v>
      </c>
      <c r="P16" s="27" t="str">
        <f aca="false">IF(F16="TRABALHO",IF(OR(L16="",N16=0),"Ponto incompleto: falta entrada ou saída",IF(N16&lt;=L16,"Saída antes da entrada","")),"")</f>
        <v/>
      </c>
      <c r="Q16" s="14" t="n">
        <f aca="false">IF(OR(F16&lt;&gt;"TRABALHO",P16&lt;&gt;""),0,ROUND(MAX(0,O16-K16)*1440,0)/1440)</f>
        <v>0</v>
      </c>
      <c r="R16" s="14" t="n">
        <f aca="false">IF(F16="FALTA",K16,IF(AND(F16="TRABALHO",P16=""),ROUND(MAX(0,K16-O16)*1440,0)/1440,0))</f>
        <v>0</v>
      </c>
      <c r="S16" s="14" t="n">
        <f aca="false">IF(Q16=0,0,IF(AND(D16&lt;&gt;"",Parametros!$B$20="NÃO"),0,MIN(Q16,Parametros!$B$19)))</f>
        <v>0</v>
      </c>
      <c r="T16" s="14" t="n">
        <f aca="false">ROUND((Q16-S16)*1440,0)/1440</f>
        <v>0</v>
      </c>
      <c r="U16" s="27" t="str">
        <f aca="false">IF(AND(OR(F16="TRABALHO",F16="PREVISTO"),D16="",R16=0,P16=""),"SIM","NÃO")</f>
        <v>SIM</v>
      </c>
      <c r="V16" s="14" t="n">
        <f aca="false">IF(U16="SIM",MAX(0,Parametros!$B$19-S16),0)</f>
        <v>0.0833333333333333</v>
      </c>
      <c r="W16" s="14" t="n">
        <f aca="false">ROUND((SUM(T$7:T15)-SUM(X$7:X15))*1440,0)/1440</f>
        <v>0</v>
      </c>
      <c r="X16" s="14" t="n">
        <f aca="false">IF(U16="SIM",MIN(V16,W16),0)</f>
        <v>0</v>
      </c>
      <c r="Y16" s="14" t="n">
        <f aca="false">S16+X16</f>
        <v>0</v>
      </c>
      <c r="Z16" s="14" t="n">
        <f aca="false">ROUND((W16+T16-X16)*1440,0)/1440</f>
        <v>0</v>
      </c>
    </row>
    <row r="17" customFormat="false" ht="18" hidden="false" customHeight="true" outlineLevel="0" collapsed="false">
      <c r="A17" s="16" t="n">
        <f aca="false">1_Ponto_Batido!A20</f>
        <v>46336</v>
      </c>
      <c r="B17" s="17" t="str">
        <f aca="false">IF(A17="","",CHOOSE(WEEKDAY(A17,2),"Segunda-feira","Terça-feira","Quarta-feira","Quinta-feira","Sexta-feira","Sábado","Domingo"))</f>
        <v>Terça-feira</v>
      </c>
      <c r="C17" s="11"/>
      <c r="D17" s="10"/>
      <c r="E17" s="10"/>
      <c r="F17" s="27" t="str">
        <f aca="false">IF(A17="","",IF(C17&lt;&gt;"",C17,IF(1_Ponto_Batido!C20&lt;&gt;"","TRABALHO",IF(COUNTIF(Parametros!$A$35:$A$50,A17)&gt;0,"FERIADO",IF(WEEKDAY(A17,2)&gt;=6,"FOLGA","PREVISTO")))))</f>
        <v>PREVISTO</v>
      </c>
      <c r="G17" s="28" t="n">
        <f aca="false">IF(OR(F17="TRABALHO",F17="PREVISTO",F17="FALTA"),IF(INDEX(Parametros!$B$25:$B$31,WEEKDAY(A17,2))&lt;&gt;"",INDEX(Parametros!$B$25:$B$31,WEEKDAY(A17,2)),""),"")</f>
        <v>0.333333333333333</v>
      </c>
      <c r="H17" s="28" t="n">
        <f aca="false">IF(G17="","",INDEX(Parametros!$C$25:$C$31,WEEKDAY(A17,2)))</f>
        <v>0.5</v>
      </c>
      <c r="I17" s="28" t="n">
        <f aca="false">IF(G17="","",INDEX(Parametros!$D$25:$D$31,WEEKDAY(A17,2)))</f>
        <v>0.541666666666667</v>
      </c>
      <c r="J17" s="28" t="n">
        <f aca="false">IF(G17="","",IF(D17&lt;&gt;"",D17,INDEX(Parametros!$E$25:$E$31,WEEKDAY(A17,2))))</f>
        <v>0.708333333333333</v>
      </c>
      <c r="K17" s="14" t="n">
        <f aca="false">IF(G17="",0,ROUND(IF(J17&lt;=H17,J17-G17,(J17-G17)-(I17-H17))*1440,0)/1440)</f>
        <v>0.333333333333333</v>
      </c>
      <c r="L17" s="28" t="str">
        <f aca="false">IF(F17&lt;&gt;"TRABALHO","",IF(1_Ponto_Batido!C20="","",1_Ponto_Batido!C20))</f>
        <v/>
      </c>
      <c r="M17" s="14" t="str">
        <f aca="false">IF(L17="","",IF(AND(1_Ponto_Batido!D20&lt;&gt;"",1_Ponto_Batido!E20&lt;&gt;""),1_Ponto_Batido!E20-1_Ponto_Batido!D20,IF(N17&gt;=I17,I17-H17,0)))</f>
        <v/>
      </c>
      <c r="N17" s="28" t="str">
        <f aca="false">IF(L17="","",IF(E17&lt;&gt;"",E17,MAX(1_Ponto_Batido!F20,1_Ponto_Batido!H20)))</f>
        <v/>
      </c>
      <c r="O17" s="14" t="n">
        <f aca="false">IF(F17="TRABALHO",IF(OR(L17="",N17=0),0,ROUND(MAX(0,(N17-L17)-M17)*1440,0)/1440),IF(F17="PREVISTO",K17,0))</f>
        <v>0.333333333333333</v>
      </c>
      <c r="P17" s="27" t="str">
        <f aca="false">IF(F17="TRABALHO",IF(OR(L17="",N17=0),"Ponto incompleto: falta entrada ou saída",IF(N17&lt;=L17,"Saída antes da entrada","")),"")</f>
        <v/>
      </c>
      <c r="Q17" s="14" t="n">
        <f aca="false">IF(OR(F17&lt;&gt;"TRABALHO",P17&lt;&gt;""),0,ROUND(MAX(0,O17-K17)*1440,0)/1440)</f>
        <v>0</v>
      </c>
      <c r="R17" s="14" t="n">
        <f aca="false">IF(F17="FALTA",K17,IF(AND(F17="TRABALHO",P17=""),ROUND(MAX(0,K17-O17)*1440,0)/1440,0))</f>
        <v>0</v>
      </c>
      <c r="S17" s="14" t="n">
        <f aca="false">IF(Q17=0,0,IF(AND(D17&lt;&gt;"",Parametros!$B$20="NÃO"),0,MIN(Q17,Parametros!$B$19)))</f>
        <v>0</v>
      </c>
      <c r="T17" s="14" t="n">
        <f aca="false">ROUND((Q17-S17)*1440,0)/1440</f>
        <v>0</v>
      </c>
      <c r="U17" s="27" t="str">
        <f aca="false">IF(AND(OR(F17="TRABALHO",F17="PREVISTO"),D17="",R17=0,P17=""),"SIM","NÃO")</f>
        <v>SIM</v>
      </c>
      <c r="V17" s="14" t="n">
        <f aca="false">IF(U17="SIM",MAX(0,Parametros!$B$19-S17),0)</f>
        <v>0.0833333333333333</v>
      </c>
      <c r="W17" s="14" t="n">
        <f aca="false">ROUND((SUM(T$7:T16)-SUM(X$7:X16))*1440,0)/1440</f>
        <v>0</v>
      </c>
      <c r="X17" s="14" t="n">
        <f aca="false">IF(U17="SIM",MIN(V17,W17),0)</f>
        <v>0</v>
      </c>
      <c r="Y17" s="14" t="n">
        <f aca="false">S17+X17</f>
        <v>0</v>
      </c>
      <c r="Z17" s="14" t="n">
        <f aca="false">ROUND((W17+T17-X17)*1440,0)/1440</f>
        <v>0</v>
      </c>
    </row>
    <row r="18" customFormat="false" ht="18" hidden="false" customHeight="true" outlineLevel="0" collapsed="false">
      <c r="A18" s="16" t="n">
        <f aca="false">1_Ponto_Batido!A21</f>
        <v>46337</v>
      </c>
      <c r="B18" s="17" t="str">
        <f aca="false">IF(A18="","",CHOOSE(WEEKDAY(A18,2),"Segunda-feira","Terça-feira","Quarta-feira","Quinta-feira","Sexta-feira","Sábado","Domingo"))</f>
        <v>Quarta-feira</v>
      </c>
      <c r="C18" s="11"/>
      <c r="D18" s="10"/>
      <c r="E18" s="10"/>
      <c r="F18" s="27" t="str">
        <f aca="false">IF(A18="","",IF(C18&lt;&gt;"",C18,IF(1_Ponto_Batido!C21&lt;&gt;"","TRABALHO",IF(COUNTIF(Parametros!$A$35:$A$50,A18)&gt;0,"FERIADO",IF(WEEKDAY(A18,2)&gt;=6,"FOLGA","PREVISTO")))))</f>
        <v>PREVISTO</v>
      </c>
      <c r="G18" s="28" t="n">
        <f aca="false">IF(OR(F18="TRABALHO",F18="PREVISTO",F18="FALTA"),IF(INDEX(Parametros!$B$25:$B$31,WEEKDAY(A18,2))&lt;&gt;"",INDEX(Parametros!$B$25:$B$31,WEEKDAY(A18,2)),""),"")</f>
        <v>0.333333333333333</v>
      </c>
      <c r="H18" s="28" t="n">
        <f aca="false">IF(G18="","",INDEX(Parametros!$C$25:$C$31,WEEKDAY(A18,2)))</f>
        <v>0.5</v>
      </c>
      <c r="I18" s="28" t="n">
        <f aca="false">IF(G18="","",INDEX(Parametros!$D$25:$D$31,WEEKDAY(A18,2)))</f>
        <v>0.541666666666667</v>
      </c>
      <c r="J18" s="28" t="n">
        <f aca="false">IF(G18="","",IF(D18&lt;&gt;"",D18,INDEX(Parametros!$E$25:$E$31,WEEKDAY(A18,2))))</f>
        <v>0.708333333333333</v>
      </c>
      <c r="K18" s="14" t="n">
        <f aca="false">IF(G18="",0,ROUND(IF(J18&lt;=H18,J18-G18,(J18-G18)-(I18-H18))*1440,0)/1440)</f>
        <v>0.333333333333333</v>
      </c>
      <c r="L18" s="28" t="str">
        <f aca="false">IF(F18&lt;&gt;"TRABALHO","",IF(1_Ponto_Batido!C21="","",1_Ponto_Batido!C21))</f>
        <v/>
      </c>
      <c r="M18" s="14" t="str">
        <f aca="false">IF(L18="","",IF(AND(1_Ponto_Batido!D21&lt;&gt;"",1_Ponto_Batido!E21&lt;&gt;""),1_Ponto_Batido!E21-1_Ponto_Batido!D21,IF(N18&gt;=I18,I18-H18,0)))</f>
        <v/>
      </c>
      <c r="N18" s="28" t="str">
        <f aca="false">IF(L18="","",IF(E18&lt;&gt;"",E18,MAX(1_Ponto_Batido!F21,1_Ponto_Batido!H21)))</f>
        <v/>
      </c>
      <c r="O18" s="14" t="n">
        <f aca="false">IF(F18="TRABALHO",IF(OR(L18="",N18=0),0,ROUND(MAX(0,(N18-L18)-M18)*1440,0)/1440),IF(F18="PREVISTO",K18,0))</f>
        <v>0.333333333333333</v>
      </c>
      <c r="P18" s="27" t="str">
        <f aca="false">IF(F18="TRABALHO",IF(OR(L18="",N18=0),"Ponto incompleto: falta entrada ou saída",IF(N18&lt;=L18,"Saída antes da entrada","")),"")</f>
        <v/>
      </c>
      <c r="Q18" s="14" t="n">
        <f aca="false">IF(OR(F18&lt;&gt;"TRABALHO",P18&lt;&gt;""),0,ROUND(MAX(0,O18-K18)*1440,0)/1440)</f>
        <v>0</v>
      </c>
      <c r="R18" s="14" t="n">
        <f aca="false">IF(F18="FALTA",K18,IF(AND(F18="TRABALHO",P18=""),ROUND(MAX(0,K18-O18)*1440,0)/1440,0))</f>
        <v>0</v>
      </c>
      <c r="S18" s="14" t="n">
        <f aca="false">IF(Q18=0,0,IF(AND(D18&lt;&gt;"",Parametros!$B$20="NÃO"),0,MIN(Q18,Parametros!$B$19)))</f>
        <v>0</v>
      </c>
      <c r="T18" s="14" t="n">
        <f aca="false">ROUND((Q18-S18)*1440,0)/1440</f>
        <v>0</v>
      </c>
      <c r="U18" s="27" t="str">
        <f aca="false">IF(AND(OR(F18="TRABALHO",F18="PREVISTO"),D18="",R18=0,P18=""),"SIM","NÃO")</f>
        <v>SIM</v>
      </c>
      <c r="V18" s="14" t="n">
        <f aca="false">IF(U18="SIM",MAX(0,Parametros!$B$19-S18),0)</f>
        <v>0.0833333333333333</v>
      </c>
      <c r="W18" s="14" t="n">
        <f aca="false">ROUND((SUM(T$7:T17)-SUM(X$7:X17))*1440,0)/1440</f>
        <v>0</v>
      </c>
      <c r="X18" s="14" t="n">
        <f aca="false">IF(U18="SIM",MIN(V18,W18),0)</f>
        <v>0</v>
      </c>
      <c r="Y18" s="14" t="n">
        <f aca="false">S18+X18</f>
        <v>0</v>
      </c>
      <c r="Z18" s="14" t="n">
        <f aca="false">ROUND((W18+T18-X18)*1440,0)/1440</f>
        <v>0</v>
      </c>
    </row>
    <row r="19" customFormat="false" ht="18" hidden="false" customHeight="true" outlineLevel="0" collapsed="false">
      <c r="A19" s="16" t="n">
        <f aca="false">1_Ponto_Batido!A22</f>
        <v>46338</v>
      </c>
      <c r="B19" s="17" t="str">
        <f aca="false">IF(A19="","",CHOOSE(WEEKDAY(A19,2),"Segunda-feira","Terça-feira","Quarta-feira","Quinta-feira","Sexta-feira","Sábado","Domingo"))</f>
        <v>Quinta-feira</v>
      </c>
      <c r="C19" s="11"/>
      <c r="D19" s="10"/>
      <c r="E19" s="10"/>
      <c r="F19" s="27" t="str">
        <f aca="false">IF(A19="","",IF(C19&lt;&gt;"",C19,IF(1_Ponto_Batido!C22&lt;&gt;"","TRABALHO",IF(COUNTIF(Parametros!$A$35:$A$50,A19)&gt;0,"FERIADO",IF(WEEKDAY(A19,2)&gt;=6,"FOLGA","PREVISTO")))))</f>
        <v>PREVISTO</v>
      </c>
      <c r="G19" s="28" t="n">
        <f aca="false">IF(OR(F19="TRABALHO",F19="PREVISTO",F19="FALTA"),IF(INDEX(Parametros!$B$25:$B$31,WEEKDAY(A19,2))&lt;&gt;"",INDEX(Parametros!$B$25:$B$31,WEEKDAY(A19,2)),""),"")</f>
        <v>0.333333333333333</v>
      </c>
      <c r="H19" s="28" t="n">
        <f aca="false">IF(G19="","",INDEX(Parametros!$C$25:$C$31,WEEKDAY(A19,2)))</f>
        <v>0.5</v>
      </c>
      <c r="I19" s="28" t="n">
        <f aca="false">IF(G19="","",INDEX(Parametros!$D$25:$D$31,WEEKDAY(A19,2)))</f>
        <v>0.541666666666667</v>
      </c>
      <c r="J19" s="28" t="n">
        <f aca="false">IF(G19="","",IF(D19&lt;&gt;"",D19,INDEX(Parametros!$E$25:$E$31,WEEKDAY(A19,2))))</f>
        <v>0.708333333333333</v>
      </c>
      <c r="K19" s="14" t="n">
        <f aca="false">IF(G19="",0,ROUND(IF(J19&lt;=H19,J19-G19,(J19-G19)-(I19-H19))*1440,0)/1440)</f>
        <v>0.333333333333333</v>
      </c>
      <c r="L19" s="28" t="str">
        <f aca="false">IF(F19&lt;&gt;"TRABALHO","",IF(1_Ponto_Batido!C22="","",1_Ponto_Batido!C22))</f>
        <v/>
      </c>
      <c r="M19" s="14" t="str">
        <f aca="false">IF(L19="","",IF(AND(1_Ponto_Batido!D22&lt;&gt;"",1_Ponto_Batido!E22&lt;&gt;""),1_Ponto_Batido!E22-1_Ponto_Batido!D22,IF(N19&gt;=I19,I19-H19,0)))</f>
        <v/>
      </c>
      <c r="N19" s="28" t="str">
        <f aca="false">IF(L19="","",IF(E19&lt;&gt;"",E19,MAX(1_Ponto_Batido!F22,1_Ponto_Batido!H22)))</f>
        <v/>
      </c>
      <c r="O19" s="14" t="n">
        <f aca="false">IF(F19="TRABALHO",IF(OR(L19="",N19=0),0,ROUND(MAX(0,(N19-L19)-M19)*1440,0)/1440),IF(F19="PREVISTO",K19,0))</f>
        <v>0.333333333333333</v>
      </c>
      <c r="P19" s="27" t="str">
        <f aca="false">IF(F19="TRABALHO",IF(OR(L19="",N19=0),"Ponto incompleto: falta entrada ou saída",IF(N19&lt;=L19,"Saída antes da entrada","")),"")</f>
        <v/>
      </c>
      <c r="Q19" s="14" t="n">
        <f aca="false">IF(OR(F19&lt;&gt;"TRABALHO",P19&lt;&gt;""),0,ROUND(MAX(0,O19-K19)*1440,0)/1440)</f>
        <v>0</v>
      </c>
      <c r="R19" s="14" t="n">
        <f aca="false">IF(F19="FALTA",K19,IF(AND(F19="TRABALHO",P19=""),ROUND(MAX(0,K19-O19)*1440,0)/1440,0))</f>
        <v>0</v>
      </c>
      <c r="S19" s="14" t="n">
        <f aca="false">IF(Q19=0,0,IF(AND(D19&lt;&gt;"",Parametros!$B$20="NÃO"),0,MIN(Q19,Parametros!$B$19)))</f>
        <v>0</v>
      </c>
      <c r="T19" s="14" t="n">
        <f aca="false">ROUND((Q19-S19)*1440,0)/1440</f>
        <v>0</v>
      </c>
      <c r="U19" s="27" t="str">
        <f aca="false">IF(AND(OR(F19="TRABALHO",F19="PREVISTO"),D19="",R19=0,P19=""),"SIM","NÃO")</f>
        <v>SIM</v>
      </c>
      <c r="V19" s="14" t="n">
        <f aca="false">IF(U19="SIM",MAX(0,Parametros!$B$19-S19),0)</f>
        <v>0.0833333333333333</v>
      </c>
      <c r="W19" s="14" t="n">
        <f aca="false">ROUND((SUM(T$7:T18)-SUM(X$7:X18))*1440,0)/1440</f>
        <v>0</v>
      </c>
      <c r="X19" s="14" t="n">
        <f aca="false">IF(U19="SIM",MIN(V19,W19),0)</f>
        <v>0</v>
      </c>
      <c r="Y19" s="14" t="n">
        <f aca="false">S19+X19</f>
        <v>0</v>
      </c>
      <c r="Z19" s="14" t="n">
        <f aca="false">ROUND((W19+T19-X19)*1440,0)/1440</f>
        <v>0</v>
      </c>
    </row>
    <row r="20" customFormat="false" ht="18" hidden="false" customHeight="true" outlineLevel="0" collapsed="false">
      <c r="A20" s="16" t="n">
        <f aca="false">1_Ponto_Batido!A23</f>
        <v>46339</v>
      </c>
      <c r="B20" s="17" t="str">
        <f aca="false">IF(A20="","",CHOOSE(WEEKDAY(A20,2),"Segunda-feira","Terça-feira","Quarta-feira","Quinta-feira","Sexta-feira","Sábado","Domingo"))</f>
        <v>Sexta-feira</v>
      </c>
      <c r="C20" s="11"/>
      <c r="D20" s="10"/>
      <c r="E20" s="10"/>
      <c r="F20" s="27" t="str">
        <f aca="false">IF(A20="","",IF(C20&lt;&gt;"",C20,IF(1_Ponto_Batido!C23&lt;&gt;"","TRABALHO",IF(COUNTIF(Parametros!$A$35:$A$50,A20)&gt;0,"FERIADO",IF(WEEKDAY(A20,2)&gt;=6,"FOLGA","PREVISTO")))))</f>
        <v>PREVISTO</v>
      </c>
      <c r="G20" s="28" t="n">
        <f aca="false">IF(OR(F20="TRABALHO",F20="PREVISTO",F20="FALTA"),IF(INDEX(Parametros!$B$25:$B$31,WEEKDAY(A20,2))&lt;&gt;"",INDEX(Parametros!$B$25:$B$31,WEEKDAY(A20,2)),""),"")</f>
        <v>0.333333333333333</v>
      </c>
      <c r="H20" s="28" t="n">
        <f aca="false">IF(G20="","",INDEX(Parametros!$C$25:$C$31,WEEKDAY(A20,2)))</f>
        <v>0.5</v>
      </c>
      <c r="I20" s="28" t="n">
        <f aca="false">IF(G20="","",INDEX(Parametros!$D$25:$D$31,WEEKDAY(A20,2)))</f>
        <v>0.541666666666667</v>
      </c>
      <c r="J20" s="28" t="n">
        <f aca="false">IF(G20="","",IF(D20&lt;&gt;"",D20,INDEX(Parametros!$E$25:$E$31,WEEKDAY(A20,2))))</f>
        <v>0.708333333333333</v>
      </c>
      <c r="K20" s="14" t="n">
        <f aca="false">IF(G20="",0,ROUND(IF(J20&lt;=H20,J20-G20,(J20-G20)-(I20-H20))*1440,0)/1440)</f>
        <v>0.333333333333333</v>
      </c>
      <c r="L20" s="28" t="str">
        <f aca="false">IF(F20&lt;&gt;"TRABALHO","",IF(1_Ponto_Batido!C23="","",1_Ponto_Batido!C23))</f>
        <v/>
      </c>
      <c r="M20" s="14" t="str">
        <f aca="false">IF(L20="","",IF(AND(1_Ponto_Batido!D23&lt;&gt;"",1_Ponto_Batido!E23&lt;&gt;""),1_Ponto_Batido!E23-1_Ponto_Batido!D23,IF(N20&gt;=I20,I20-H20,0)))</f>
        <v/>
      </c>
      <c r="N20" s="28" t="str">
        <f aca="false">IF(L20="","",IF(E20&lt;&gt;"",E20,MAX(1_Ponto_Batido!F23,1_Ponto_Batido!H23)))</f>
        <v/>
      </c>
      <c r="O20" s="14" t="n">
        <f aca="false">IF(F20="TRABALHO",IF(OR(L20="",N20=0),0,ROUND(MAX(0,(N20-L20)-M20)*1440,0)/1440),IF(F20="PREVISTO",K20,0))</f>
        <v>0.333333333333333</v>
      </c>
      <c r="P20" s="27" t="str">
        <f aca="false">IF(F20="TRABALHO",IF(OR(L20="",N20=0),"Ponto incompleto: falta entrada ou saída",IF(N20&lt;=L20,"Saída antes da entrada","")),"")</f>
        <v/>
      </c>
      <c r="Q20" s="14" t="n">
        <f aca="false">IF(OR(F20&lt;&gt;"TRABALHO",P20&lt;&gt;""),0,ROUND(MAX(0,O20-K20)*1440,0)/1440)</f>
        <v>0</v>
      </c>
      <c r="R20" s="14" t="n">
        <f aca="false">IF(F20="FALTA",K20,IF(AND(F20="TRABALHO",P20=""),ROUND(MAX(0,K20-O20)*1440,0)/1440,0))</f>
        <v>0</v>
      </c>
      <c r="S20" s="14" t="n">
        <f aca="false">IF(Q20=0,0,IF(AND(D20&lt;&gt;"",Parametros!$B$20="NÃO"),0,MIN(Q20,Parametros!$B$19)))</f>
        <v>0</v>
      </c>
      <c r="T20" s="14" t="n">
        <f aca="false">ROUND((Q20-S20)*1440,0)/1440</f>
        <v>0</v>
      </c>
      <c r="U20" s="27" t="str">
        <f aca="false">IF(AND(OR(F20="TRABALHO",F20="PREVISTO"),D20="",R20=0,P20=""),"SIM","NÃO")</f>
        <v>SIM</v>
      </c>
      <c r="V20" s="14" t="n">
        <f aca="false">IF(U20="SIM",MAX(0,Parametros!$B$19-S20),0)</f>
        <v>0.0833333333333333</v>
      </c>
      <c r="W20" s="14" t="n">
        <f aca="false">ROUND((SUM(T$7:T19)-SUM(X$7:X19))*1440,0)/1440</f>
        <v>0</v>
      </c>
      <c r="X20" s="14" t="n">
        <f aca="false">IF(U20="SIM",MIN(V20,W20),0)</f>
        <v>0</v>
      </c>
      <c r="Y20" s="14" t="n">
        <f aca="false">S20+X20</f>
        <v>0</v>
      </c>
      <c r="Z20" s="14" t="n">
        <f aca="false">ROUND((W20+T20-X20)*1440,0)/1440</f>
        <v>0</v>
      </c>
    </row>
    <row r="21" customFormat="false" ht="18" hidden="false" customHeight="true" outlineLevel="0" collapsed="false">
      <c r="A21" s="16" t="n">
        <f aca="false">1_Ponto_Batido!A24</f>
        <v>46340</v>
      </c>
      <c r="B21" s="17" t="str">
        <f aca="false">IF(A21="","",CHOOSE(WEEKDAY(A21,2),"Segunda-feira","Terça-feira","Quarta-feira","Quinta-feira","Sexta-feira","Sábado","Domingo"))</f>
        <v>Sábado</v>
      </c>
      <c r="C21" s="11"/>
      <c r="D21" s="10"/>
      <c r="E21" s="10"/>
      <c r="F21" s="27" t="str">
        <f aca="false">IF(A21="","",IF(C21&lt;&gt;"",C21,IF(1_Ponto_Batido!C24&lt;&gt;"","TRABALHO",IF(COUNTIF(Parametros!$A$35:$A$50,A21)&gt;0,"FERIADO",IF(WEEKDAY(A21,2)&gt;=6,"FOLGA","PREVISTO")))))</f>
        <v>FOLGA</v>
      </c>
      <c r="G21" s="28" t="str">
        <f aca="false">IF(OR(F21="TRABALHO",F21="PREVISTO",F21="FALTA"),IF(INDEX(Parametros!$B$25:$B$31,WEEKDAY(A21,2))&lt;&gt;"",INDEX(Parametros!$B$25:$B$31,WEEKDAY(A21,2)),""),"")</f>
        <v/>
      </c>
      <c r="H21" s="28" t="str">
        <f aca="false">IF(G21="","",INDEX(Parametros!$C$25:$C$31,WEEKDAY(A21,2)))</f>
        <v/>
      </c>
      <c r="I21" s="28" t="str">
        <f aca="false">IF(G21="","",INDEX(Parametros!$D$25:$D$31,WEEKDAY(A21,2)))</f>
        <v/>
      </c>
      <c r="J21" s="28" t="str">
        <f aca="false">IF(G21="","",IF(D21&lt;&gt;"",D21,INDEX(Parametros!$E$25:$E$31,WEEKDAY(A21,2))))</f>
        <v/>
      </c>
      <c r="K21" s="14" t="n">
        <f aca="false">IF(G21="",0,ROUND(IF(J21&lt;=H21,J21-G21,(J21-G21)-(I21-H21))*1440,0)/1440)</f>
        <v>0</v>
      </c>
      <c r="L21" s="28" t="str">
        <f aca="false">IF(F21&lt;&gt;"TRABALHO","",IF(1_Ponto_Batido!C24="","",1_Ponto_Batido!C24))</f>
        <v/>
      </c>
      <c r="M21" s="14" t="str">
        <f aca="false">IF(L21="","",IF(AND(1_Ponto_Batido!D24&lt;&gt;"",1_Ponto_Batido!E24&lt;&gt;""),1_Ponto_Batido!E24-1_Ponto_Batido!D24,IF(N21&gt;=I21,I21-H21,0)))</f>
        <v/>
      </c>
      <c r="N21" s="28" t="str">
        <f aca="false">IF(L21="","",IF(E21&lt;&gt;"",E21,MAX(1_Ponto_Batido!F24,1_Ponto_Batido!H24)))</f>
        <v/>
      </c>
      <c r="O21" s="14" t="n">
        <f aca="false">IF(F21="TRABALHO",IF(OR(L21="",N21=0),0,ROUND(MAX(0,(N21-L21)-M21)*1440,0)/1440),IF(F21="PREVISTO",K21,0))</f>
        <v>0</v>
      </c>
      <c r="P21" s="27" t="str">
        <f aca="false">IF(F21="TRABALHO",IF(OR(L21="",N21=0),"Ponto incompleto: falta entrada ou saída",IF(N21&lt;=L21,"Saída antes da entrada","")),"")</f>
        <v/>
      </c>
      <c r="Q21" s="14" t="n">
        <f aca="false">IF(OR(F21&lt;&gt;"TRABALHO",P21&lt;&gt;""),0,ROUND(MAX(0,O21-K21)*1440,0)/1440)</f>
        <v>0</v>
      </c>
      <c r="R21" s="14" t="n">
        <f aca="false">IF(F21="FALTA",K21,IF(AND(F21="TRABALHO",P21=""),ROUND(MAX(0,K21-O21)*1440,0)/1440,0))</f>
        <v>0</v>
      </c>
      <c r="S21" s="14" t="n">
        <f aca="false">IF(Q21=0,0,IF(AND(D21&lt;&gt;"",Parametros!$B$20="NÃO"),0,MIN(Q21,Parametros!$B$19)))</f>
        <v>0</v>
      </c>
      <c r="T21" s="14" t="n">
        <f aca="false">ROUND((Q21-S21)*1440,0)/1440</f>
        <v>0</v>
      </c>
      <c r="U21" s="27" t="str">
        <f aca="false">IF(AND(OR(F21="TRABALHO",F21="PREVISTO"),D21="",R21=0,P21=""),"SIM","NÃO")</f>
        <v>NÃO</v>
      </c>
      <c r="V21" s="14" t="n">
        <f aca="false">IF(U21="SIM",MAX(0,Parametros!$B$19-S21),0)</f>
        <v>0</v>
      </c>
      <c r="W21" s="14" t="n">
        <f aca="false">ROUND((SUM(T$7:T20)-SUM(X$7:X20))*1440,0)/1440</f>
        <v>0</v>
      </c>
      <c r="X21" s="14" t="n">
        <f aca="false">IF(U21="SIM",MIN(V21,W21),0)</f>
        <v>0</v>
      </c>
      <c r="Y21" s="14" t="n">
        <f aca="false">S21+X21</f>
        <v>0</v>
      </c>
      <c r="Z21" s="14" t="n">
        <f aca="false">ROUND((W21+T21-X21)*1440,0)/1440</f>
        <v>0</v>
      </c>
    </row>
    <row r="22" customFormat="false" ht="18" hidden="false" customHeight="true" outlineLevel="0" collapsed="false">
      <c r="A22" s="16" t="n">
        <f aca="false">1_Ponto_Batido!A25</f>
        <v>46341</v>
      </c>
      <c r="B22" s="17" t="str">
        <f aca="false">IF(A22="","",CHOOSE(WEEKDAY(A22,2),"Segunda-feira","Terça-feira","Quarta-feira","Quinta-feira","Sexta-feira","Sábado","Domingo"))</f>
        <v>Domingo</v>
      </c>
      <c r="C22" s="11"/>
      <c r="D22" s="10"/>
      <c r="E22" s="10"/>
      <c r="F22" s="27" t="str">
        <f aca="false">IF(A22="","",IF(C22&lt;&gt;"",C22,IF(1_Ponto_Batido!C25&lt;&gt;"","TRABALHO",IF(COUNTIF(Parametros!$A$35:$A$50,A22)&gt;0,"FERIADO",IF(WEEKDAY(A22,2)&gt;=6,"FOLGA","PREVISTO")))))</f>
        <v>FERIADO</v>
      </c>
      <c r="G22" s="28" t="str">
        <f aca="false">IF(OR(F22="TRABALHO",F22="PREVISTO",F22="FALTA"),IF(INDEX(Parametros!$B$25:$B$31,WEEKDAY(A22,2))&lt;&gt;"",INDEX(Parametros!$B$25:$B$31,WEEKDAY(A22,2)),""),"")</f>
        <v/>
      </c>
      <c r="H22" s="28" t="str">
        <f aca="false">IF(G22="","",INDEX(Parametros!$C$25:$C$31,WEEKDAY(A22,2)))</f>
        <v/>
      </c>
      <c r="I22" s="28" t="str">
        <f aca="false">IF(G22="","",INDEX(Parametros!$D$25:$D$31,WEEKDAY(A22,2)))</f>
        <v/>
      </c>
      <c r="J22" s="28" t="str">
        <f aca="false">IF(G22="","",IF(D22&lt;&gt;"",D22,INDEX(Parametros!$E$25:$E$31,WEEKDAY(A22,2))))</f>
        <v/>
      </c>
      <c r="K22" s="14" t="n">
        <f aca="false">IF(G22="",0,ROUND(IF(J22&lt;=H22,J22-G22,(J22-G22)-(I22-H22))*1440,0)/1440)</f>
        <v>0</v>
      </c>
      <c r="L22" s="28" t="str">
        <f aca="false">IF(F22&lt;&gt;"TRABALHO","",IF(1_Ponto_Batido!C25="","",1_Ponto_Batido!C25))</f>
        <v/>
      </c>
      <c r="M22" s="14" t="str">
        <f aca="false">IF(L22="","",IF(AND(1_Ponto_Batido!D25&lt;&gt;"",1_Ponto_Batido!E25&lt;&gt;""),1_Ponto_Batido!E25-1_Ponto_Batido!D25,IF(N22&gt;=I22,I22-H22,0)))</f>
        <v/>
      </c>
      <c r="N22" s="28" t="str">
        <f aca="false">IF(L22="","",IF(E22&lt;&gt;"",E22,MAX(1_Ponto_Batido!F25,1_Ponto_Batido!H25)))</f>
        <v/>
      </c>
      <c r="O22" s="14" t="n">
        <f aca="false">IF(F22="TRABALHO",IF(OR(L22="",N22=0),0,ROUND(MAX(0,(N22-L22)-M22)*1440,0)/1440),IF(F22="PREVISTO",K22,0))</f>
        <v>0</v>
      </c>
      <c r="P22" s="27" t="str">
        <f aca="false">IF(F22="TRABALHO",IF(OR(L22="",N22=0),"Ponto incompleto: falta entrada ou saída",IF(N22&lt;=L22,"Saída antes da entrada","")),"")</f>
        <v/>
      </c>
      <c r="Q22" s="14" t="n">
        <f aca="false">IF(OR(F22&lt;&gt;"TRABALHO",P22&lt;&gt;""),0,ROUND(MAX(0,O22-K22)*1440,0)/1440)</f>
        <v>0</v>
      </c>
      <c r="R22" s="14" t="n">
        <f aca="false">IF(F22="FALTA",K22,IF(AND(F22="TRABALHO",P22=""),ROUND(MAX(0,K22-O22)*1440,0)/1440,0))</f>
        <v>0</v>
      </c>
      <c r="S22" s="14" t="n">
        <f aca="false">IF(Q22=0,0,IF(AND(D22&lt;&gt;"",Parametros!$B$20="NÃO"),0,MIN(Q22,Parametros!$B$19)))</f>
        <v>0</v>
      </c>
      <c r="T22" s="14" t="n">
        <f aca="false">ROUND((Q22-S22)*1440,0)/1440</f>
        <v>0</v>
      </c>
      <c r="U22" s="27" t="str">
        <f aca="false">IF(AND(OR(F22="TRABALHO",F22="PREVISTO"),D22="",R22=0,P22=""),"SIM","NÃO")</f>
        <v>NÃO</v>
      </c>
      <c r="V22" s="14" t="n">
        <f aca="false">IF(U22="SIM",MAX(0,Parametros!$B$19-S22),0)</f>
        <v>0</v>
      </c>
      <c r="W22" s="14" t="n">
        <f aca="false">ROUND((SUM(T$7:T21)-SUM(X$7:X21))*1440,0)/1440</f>
        <v>0</v>
      </c>
      <c r="X22" s="14" t="n">
        <f aca="false">IF(U22="SIM",MIN(V22,W22),0)</f>
        <v>0</v>
      </c>
      <c r="Y22" s="14" t="n">
        <f aca="false">S22+X22</f>
        <v>0</v>
      </c>
      <c r="Z22" s="14" t="n">
        <f aca="false">ROUND((W22+T22-X22)*1440,0)/1440</f>
        <v>0</v>
      </c>
    </row>
    <row r="23" customFormat="false" ht="18" hidden="false" customHeight="true" outlineLevel="0" collapsed="false">
      <c r="A23" s="16" t="n">
        <f aca="false">1_Ponto_Batido!A26</f>
        <v>46342</v>
      </c>
      <c r="B23" s="17" t="str">
        <f aca="false">IF(A23="","",CHOOSE(WEEKDAY(A23,2),"Segunda-feira","Terça-feira","Quarta-feira","Quinta-feira","Sexta-feira","Sábado","Domingo"))</f>
        <v>Segunda-feira</v>
      </c>
      <c r="C23" s="11"/>
      <c r="D23" s="10"/>
      <c r="E23" s="10"/>
      <c r="F23" s="27" t="str">
        <f aca="false">IF(A23="","",IF(C23&lt;&gt;"",C23,IF(1_Ponto_Batido!C26&lt;&gt;"","TRABALHO",IF(COUNTIF(Parametros!$A$35:$A$50,A23)&gt;0,"FERIADO",IF(WEEKDAY(A23,2)&gt;=6,"FOLGA","PREVISTO")))))</f>
        <v>PREVISTO</v>
      </c>
      <c r="G23" s="28" t="n">
        <f aca="false">IF(OR(F23="TRABALHO",F23="PREVISTO",F23="FALTA"),IF(INDEX(Parametros!$B$25:$B$31,WEEKDAY(A23,2))&lt;&gt;"",INDEX(Parametros!$B$25:$B$31,WEEKDAY(A23,2)),""),"")</f>
        <v>0.333333333333333</v>
      </c>
      <c r="H23" s="28" t="n">
        <f aca="false">IF(G23="","",INDEX(Parametros!$C$25:$C$31,WEEKDAY(A23,2)))</f>
        <v>0.5</v>
      </c>
      <c r="I23" s="28" t="n">
        <f aca="false">IF(G23="","",INDEX(Parametros!$D$25:$D$31,WEEKDAY(A23,2)))</f>
        <v>0.541666666666667</v>
      </c>
      <c r="J23" s="28" t="n">
        <f aca="false">IF(G23="","",IF(D23&lt;&gt;"",D23,INDEX(Parametros!$E$25:$E$31,WEEKDAY(A23,2))))</f>
        <v>0.708333333333333</v>
      </c>
      <c r="K23" s="14" t="n">
        <f aca="false">IF(G23="",0,ROUND(IF(J23&lt;=H23,J23-G23,(J23-G23)-(I23-H23))*1440,0)/1440)</f>
        <v>0.333333333333333</v>
      </c>
      <c r="L23" s="28" t="str">
        <f aca="false">IF(F23&lt;&gt;"TRABALHO","",IF(1_Ponto_Batido!C26="","",1_Ponto_Batido!C26))</f>
        <v/>
      </c>
      <c r="M23" s="14" t="str">
        <f aca="false">IF(L23="","",IF(AND(1_Ponto_Batido!D26&lt;&gt;"",1_Ponto_Batido!E26&lt;&gt;""),1_Ponto_Batido!E26-1_Ponto_Batido!D26,IF(N23&gt;=I23,I23-H23,0)))</f>
        <v/>
      </c>
      <c r="N23" s="28" t="str">
        <f aca="false">IF(L23="","",IF(E23&lt;&gt;"",E23,MAX(1_Ponto_Batido!F26,1_Ponto_Batido!H26)))</f>
        <v/>
      </c>
      <c r="O23" s="14" t="n">
        <f aca="false">IF(F23="TRABALHO",IF(OR(L23="",N23=0),0,ROUND(MAX(0,(N23-L23)-M23)*1440,0)/1440),IF(F23="PREVISTO",K23,0))</f>
        <v>0.333333333333333</v>
      </c>
      <c r="P23" s="27" t="str">
        <f aca="false">IF(F23="TRABALHO",IF(OR(L23="",N23=0),"Ponto incompleto: falta entrada ou saída",IF(N23&lt;=L23,"Saída antes da entrada","")),"")</f>
        <v/>
      </c>
      <c r="Q23" s="14" t="n">
        <f aca="false">IF(OR(F23&lt;&gt;"TRABALHO",P23&lt;&gt;""),0,ROUND(MAX(0,O23-K23)*1440,0)/1440)</f>
        <v>0</v>
      </c>
      <c r="R23" s="14" t="n">
        <f aca="false">IF(F23="FALTA",K23,IF(AND(F23="TRABALHO",P23=""),ROUND(MAX(0,K23-O23)*1440,0)/1440,0))</f>
        <v>0</v>
      </c>
      <c r="S23" s="14" t="n">
        <f aca="false">IF(Q23=0,0,IF(AND(D23&lt;&gt;"",Parametros!$B$20="NÃO"),0,MIN(Q23,Parametros!$B$19)))</f>
        <v>0</v>
      </c>
      <c r="T23" s="14" t="n">
        <f aca="false">ROUND((Q23-S23)*1440,0)/1440</f>
        <v>0</v>
      </c>
      <c r="U23" s="27" t="str">
        <f aca="false">IF(AND(OR(F23="TRABALHO",F23="PREVISTO"),D23="",R23=0,P23=""),"SIM","NÃO")</f>
        <v>SIM</v>
      </c>
      <c r="V23" s="14" t="n">
        <f aca="false">IF(U23="SIM",MAX(0,Parametros!$B$19-S23),0)</f>
        <v>0.0833333333333333</v>
      </c>
      <c r="W23" s="14" t="n">
        <f aca="false">ROUND((SUM(T$7:T22)-SUM(X$7:X22))*1440,0)/1440</f>
        <v>0</v>
      </c>
      <c r="X23" s="14" t="n">
        <f aca="false">IF(U23="SIM",MIN(V23,W23),0)</f>
        <v>0</v>
      </c>
      <c r="Y23" s="14" t="n">
        <f aca="false">S23+X23</f>
        <v>0</v>
      </c>
      <c r="Z23" s="14" t="n">
        <f aca="false">ROUND((W23+T23-X23)*1440,0)/1440</f>
        <v>0</v>
      </c>
    </row>
    <row r="24" customFormat="false" ht="18" hidden="false" customHeight="true" outlineLevel="0" collapsed="false">
      <c r="A24" s="16" t="n">
        <f aca="false">1_Ponto_Batido!A27</f>
        <v>46343</v>
      </c>
      <c r="B24" s="17" t="str">
        <f aca="false">IF(A24="","",CHOOSE(WEEKDAY(A24,2),"Segunda-feira","Terça-feira","Quarta-feira","Quinta-feira","Sexta-feira","Sábado","Domingo"))</f>
        <v>Terça-feira</v>
      </c>
      <c r="C24" s="11"/>
      <c r="D24" s="10"/>
      <c r="E24" s="10"/>
      <c r="F24" s="27" t="str">
        <f aca="false">IF(A24="","",IF(C24&lt;&gt;"",C24,IF(1_Ponto_Batido!C27&lt;&gt;"","TRABALHO",IF(COUNTIF(Parametros!$A$35:$A$50,A24)&gt;0,"FERIADO",IF(WEEKDAY(A24,2)&gt;=6,"FOLGA","PREVISTO")))))</f>
        <v>PREVISTO</v>
      </c>
      <c r="G24" s="28" t="n">
        <f aca="false">IF(OR(F24="TRABALHO",F24="PREVISTO",F24="FALTA"),IF(INDEX(Parametros!$B$25:$B$31,WEEKDAY(A24,2))&lt;&gt;"",INDEX(Parametros!$B$25:$B$31,WEEKDAY(A24,2)),""),"")</f>
        <v>0.333333333333333</v>
      </c>
      <c r="H24" s="28" t="n">
        <f aca="false">IF(G24="","",INDEX(Parametros!$C$25:$C$31,WEEKDAY(A24,2)))</f>
        <v>0.5</v>
      </c>
      <c r="I24" s="28" t="n">
        <f aca="false">IF(G24="","",INDEX(Parametros!$D$25:$D$31,WEEKDAY(A24,2)))</f>
        <v>0.541666666666667</v>
      </c>
      <c r="J24" s="28" t="n">
        <f aca="false">IF(G24="","",IF(D24&lt;&gt;"",D24,INDEX(Parametros!$E$25:$E$31,WEEKDAY(A24,2))))</f>
        <v>0.708333333333333</v>
      </c>
      <c r="K24" s="14" t="n">
        <f aca="false">IF(G24="",0,ROUND(IF(J24&lt;=H24,J24-G24,(J24-G24)-(I24-H24))*1440,0)/1440)</f>
        <v>0.333333333333333</v>
      </c>
      <c r="L24" s="28" t="str">
        <f aca="false">IF(F24&lt;&gt;"TRABALHO","",IF(1_Ponto_Batido!C27="","",1_Ponto_Batido!C27))</f>
        <v/>
      </c>
      <c r="M24" s="14" t="str">
        <f aca="false">IF(L24="","",IF(AND(1_Ponto_Batido!D27&lt;&gt;"",1_Ponto_Batido!E27&lt;&gt;""),1_Ponto_Batido!E27-1_Ponto_Batido!D27,IF(N24&gt;=I24,I24-H24,0)))</f>
        <v/>
      </c>
      <c r="N24" s="28" t="str">
        <f aca="false">IF(L24="","",IF(E24&lt;&gt;"",E24,MAX(1_Ponto_Batido!F27,1_Ponto_Batido!H27)))</f>
        <v/>
      </c>
      <c r="O24" s="14" t="n">
        <f aca="false">IF(F24="TRABALHO",IF(OR(L24="",N24=0),0,ROUND(MAX(0,(N24-L24)-M24)*1440,0)/1440),IF(F24="PREVISTO",K24,0))</f>
        <v>0.333333333333333</v>
      </c>
      <c r="P24" s="27" t="str">
        <f aca="false">IF(F24="TRABALHO",IF(OR(L24="",N24=0),"Ponto incompleto: falta entrada ou saída",IF(N24&lt;=L24,"Saída antes da entrada","")),"")</f>
        <v/>
      </c>
      <c r="Q24" s="14" t="n">
        <f aca="false">IF(OR(F24&lt;&gt;"TRABALHO",P24&lt;&gt;""),0,ROUND(MAX(0,O24-K24)*1440,0)/1440)</f>
        <v>0</v>
      </c>
      <c r="R24" s="14" t="n">
        <f aca="false">IF(F24="FALTA",K24,IF(AND(F24="TRABALHO",P24=""),ROUND(MAX(0,K24-O24)*1440,0)/1440,0))</f>
        <v>0</v>
      </c>
      <c r="S24" s="14" t="n">
        <f aca="false">IF(Q24=0,0,IF(AND(D24&lt;&gt;"",Parametros!$B$20="NÃO"),0,MIN(Q24,Parametros!$B$19)))</f>
        <v>0</v>
      </c>
      <c r="T24" s="14" t="n">
        <f aca="false">ROUND((Q24-S24)*1440,0)/1440</f>
        <v>0</v>
      </c>
      <c r="U24" s="27" t="str">
        <f aca="false">IF(AND(OR(F24="TRABALHO",F24="PREVISTO"),D24="",R24=0,P24=""),"SIM","NÃO")</f>
        <v>SIM</v>
      </c>
      <c r="V24" s="14" t="n">
        <f aca="false">IF(U24="SIM",MAX(0,Parametros!$B$19-S24),0)</f>
        <v>0.0833333333333333</v>
      </c>
      <c r="W24" s="14" t="n">
        <f aca="false">ROUND((SUM(T$7:T23)-SUM(X$7:X23))*1440,0)/1440</f>
        <v>0</v>
      </c>
      <c r="X24" s="14" t="n">
        <f aca="false">IF(U24="SIM",MIN(V24,W24),0)</f>
        <v>0</v>
      </c>
      <c r="Y24" s="14" t="n">
        <f aca="false">S24+X24</f>
        <v>0</v>
      </c>
      <c r="Z24" s="14" t="n">
        <f aca="false">ROUND((W24+T24-X24)*1440,0)/1440</f>
        <v>0</v>
      </c>
    </row>
    <row r="25" customFormat="false" ht="18" hidden="false" customHeight="true" outlineLevel="0" collapsed="false">
      <c r="A25" s="16" t="n">
        <f aca="false">1_Ponto_Batido!A28</f>
        <v>46344</v>
      </c>
      <c r="B25" s="17" t="str">
        <f aca="false">IF(A25="","",CHOOSE(WEEKDAY(A25,2),"Segunda-feira","Terça-feira","Quarta-feira","Quinta-feira","Sexta-feira","Sábado","Domingo"))</f>
        <v>Quarta-feira</v>
      </c>
      <c r="C25" s="11"/>
      <c r="D25" s="10"/>
      <c r="E25" s="10"/>
      <c r="F25" s="27" t="str">
        <f aca="false">IF(A25="","",IF(C25&lt;&gt;"",C25,IF(1_Ponto_Batido!C28&lt;&gt;"","TRABALHO",IF(COUNTIF(Parametros!$A$35:$A$50,A25)&gt;0,"FERIADO",IF(WEEKDAY(A25,2)&gt;=6,"FOLGA","PREVISTO")))))</f>
        <v>PREVISTO</v>
      </c>
      <c r="G25" s="28" t="n">
        <f aca="false">IF(OR(F25="TRABALHO",F25="PREVISTO",F25="FALTA"),IF(INDEX(Parametros!$B$25:$B$31,WEEKDAY(A25,2))&lt;&gt;"",INDEX(Parametros!$B$25:$B$31,WEEKDAY(A25,2)),""),"")</f>
        <v>0.333333333333333</v>
      </c>
      <c r="H25" s="28" t="n">
        <f aca="false">IF(G25="","",INDEX(Parametros!$C$25:$C$31,WEEKDAY(A25,2)))</f>
        <v>0.5</v>
      </c>
      <c r="I25" s="28" t="n">
        <f aca="false">IF(G25="","",INDEX(Parametros!$D$25:$D$31,WEEKDAY(A25,2)))</f>
        <v>0.541666666666667</v>
      </c>
      <c r="J25" s="28" t="n">
        <f aca="false">IF(G25="","",IF(D25&lt;&gt;"",D25,INDEX(Parametros!$E$25:$E$31,WEEKDAY(A25,2))))</f>
        <v>0.708333333333333</v>
      </c>
      <c r="K25" s="14" t="n">
        <f aca="false">IF(G25="",0,ROUND(IF(J25&lt;=H25,J25-G25,(J25-G25)-(I25-H25))*1440,0)/1440)</f>
        <v>0.333333333333333</v>
      </c>
      <c r="L25" s="28" t="str">
        <f aca="false">IF(F25&lt;&gt;"TRABALHO","",IF(1_Ponto_Batido!C28="","",1_Ponto_Batido!C28))</f>
        <v/>
      </c>
      <c r="M25" s="14" t="str">
        <f aca="false">IF(L25="","",IF(AND(1_Ponto_Batido!D28&lt;&gt;"",1_Ponto_Batido!E28&lt;&gt;""),1_Ponto_Batido!E28-1_Ponto_Batido!D28,IF(N25&gt;=I25,I25-H25,0)))</f>
        <v/>
      </c>
      <c r="N25" s="28" t="str">
        <f aca="false">IF(L25="","",IF(E25&lt;&gt;"",E25,MAX(1_Ponto_Batido!F28,1_Ponto_Batido!H28)))</f>
        <v/>
      </c>
      <c r="O25" s="14" t="n">
        <f aca="false">IF(F25="TRABALHO",IF(OR(L25="",N25=0),0,ROUND(MAX(0,(N25-L25)-M25)*1440,0)/1440),IF(F25="PREVISTO",K25,0))</f>
        <v>0.333333333333333</v>
      </c>
      <c r="P25" s="27" t="str">
        <f aca="false">IF(F25="TRABALHO",IF(OR(L25="",N25=0),"Ponto incompleto: falta entrada ou saída",IF(N25&lt;=L25,"Saída antes da entrada","")),"")</f>
        <v/>
      </c>
      <c r="Q25" s="14" t="n">
        <f aca="false">IF(OR(F25&lt;&gt;"TRABALHO",P25&lt;&gt;""),0,ROUND(MAX(0,O25-K25)*1440,0)/1440)</f>
        <v>0</v>
      </c>
      <c r="R25" s="14" t="n">
        <f aca="false">IF(F25="FALTA",K25,IF(AND(F25="TRABALHO",P25=""),ROUND(MAX(0,K25-O25)*1440,0)/1440,0))</f>
        <v>0</v>
      </c>
      <c r="S25" s="14" t="n">
        <f aca="false">IF(Q25=0,0,IF(AND(D25&lt;&gt;"",Parametros!$B$20="NÃO"),0,MIN(Q25,Parametros!$B$19)))</f>
        <v>0</v>
      </c>
      <c r="T25" s="14" t="n">
        <f aca="false">ROUND((Q25-S25)*1440,0)/1440</f>
        <v>0</v>
      </c>
      <c r="U25" s="27" t="str">
        <f aca="false">IF(AND(OR(F25="TRABALHO",F25="PREVISTO"),D25="",R25=0,P25=""),"SIM","NÃO")</f>
        <v>SIM</v>
      </c>
      <c r="V25" s="14" t="n">
        <f aca="false">IF(U25="SIM",MAX(0,Parametros!$B$19-S25),0)</f>
        <v>0.0833333333333333</v>
      </c>
      <c r="W25" s="14" t="n">
        <f aca="false">ROUND((SUM(T$7:T24)-SUM(X$7:X24))*1440,0)/1440</f>
        <v>0</v>
      </c>
      <c r="X25" s="14" t="n">
        <f aca="false">IF(U25="SIM",MIN(V25,W25),0)</f>
        <v>0</v>
      </c>
      <c r="Y25" s="14" t="n">
        <f aca="false">S25+X25</f>
        <v>0</v>
      </c>
      <c r="Z25" s="14" t="n">
        <f aca="false">ROUND((W25+T25-X25)*1440,0)/1440</f>
        <v>0</v>
      </c>
    </row>
    <row r="26" customFormat="false" ht="18" hidden="false" customHeight="true" outlineLevel="0" collapsed="false">
      <c r="A26" s="16" t="n">
        <f aca="false">1_Ponto_Batido!A29</f>
        <v>46345</v>
      </c>
      <c r="B26" s="17" t="str">
        <f aca="false">IF(A26="","",CHOOSE(WEEKDAY(A26,2),"Segunda-feira","Terça-feira","Quarta-feira","Quinta-feira","Sexta-feira","Sábado","Domingo"))</f>
        <v>Quinta-feira</v>
      </c>
      <c r="C26" s="11"/>
      <c r="D26" s="10"/>
      <c r="E26" s="10"/>
      <c r="F26" s="27" t="str">
        <f aca="false">IF(A26="","",IF(C26&lt;&gt;"",C26,IF(1_Ponto_Batido!C29&lt;&gt;"","TRABALHO",IF(COUNTIF(Parametros!$A$35:$A$50,A26)&gt;0,"FERIADO",IF(WEEKDAY(A26,2)&gt;=6,"FOLGA","PREVISTO")))))</f>
        <v>PREVISTO</v>
      </c>
      <c r="G26" s="28" t="n">
        <f aca="false">IF(OR(F26="TRABALHO",F26="PREVISTO",F26="FALTA"),IF(INDEX(Parametros!$B$25:$B$31,WEEKDAY(A26,2))&lt;&gt;"",INDEX(Parametros!$B$25:$B$31,WEEKDAY(A26,2)),""),"")</f>
        <v>0.333333333333333</v>
      </c>
      <c r="H26" s="28" t="n">
        <f aca="false">IF(G26="","",INDEX(Parametros!$C$25:$C$31,WEEKDAY(A26,2)))</f>
        <v>0.5</v>
      </c>
      <c r="I26" s="28" t="n">
        <f aca="false">IF(G26="","",INDEX(Parametros!$D$25:$D$31,WEEKDAY(A26,2)))</f>
        <v>0.541666666666667</v>
      </c>
      <c r="J26" s="28" t="n">
        <f aca="false">IF(G26="","",IF(D26&lt;&gt;"",D26,INDEX(Parametros!$E$25:$E$31,WEEKDAY(A26,2))))</f>
        <v>0.708333333333333</v>
      </c>
      <c r="K26" s="14" t="n">
        <f aca="false">IF(G26="",0,ROUND(IF(J26&lt;=H26,J26-G26,(J26-G26)-(I26-H26))*1440,0)/1440)</f>
        <v>0.333333333333333</v>
      </c>
      <c r="L26" s="28" t="str">
        <f aca="false">IF(F26&lt;&gt;"TRABALHO","",IF(1_Ponto_Batido!C29="","",1_Ponto_Batido!C29))</f>
        <v/>
      </c>
      <c r="M26" s="14" t="str">
        <f aca="false">IF(L26="","",IF(AND(1_Ponto_Batido!D29&lt;&gt;"",1_Ponto_Batido!E29&lt;&gt;""),1_Ponto_Batido!E29-1_Ponto_Batido!D29,IF(N26&gt;=I26,I26-H26,0)))</f>
        <v/>
      </c>
      <c r="N26" s="28" t="str">
        <f aca="false">IF(L26="","",IF(E26&lt;&gt;"",E26,MAX(1_Ponto_Batido!F29,1_Ponto_Batido!H29)))</f>
        <v/>
      </c>
      <c r="O26" s="14" t="n">
        <f aca="false">IF(F26="TRABALHO",IF(OR(L26="",N26=0),0,ROUND(MAX(0,(N26-L26)-M26)*1440,0)/1440),IF(F26="PREVISTO",K26,0))</f>
        <v>0.333333333333333</v>
      </c>
      <c r="P26" s="27" t="str">
        <f aca="false">IF(F26="TRABALHO",IF(OR(L26="",N26=0),"Ponto incompleto: falta entrada ou saída",IF(N26&lt;=L26,"Saída antes da entrada","")),"")</f>
        <v/>
      </c>
      <c r="Q26" s="14" t="n">
        <f aca="false">IF(OR(F26&lt;&gt;"TRABALHO",P26&lt;&gt;""),0,ROUND(MAX(0,O26-K26)*1440,0)/1440)</f>
        <v>0</v>
      </c>
      <c r="R26" s="14" t="n">
        <f aca="false">IF(F26="FALTA",K26,IF(AND(F26="TRABALHO",P26=""),ROUND(MAX(0,K26-O26)*1440,0)/1440,0))</f>
        <v>0</v>
      </c>
      <c r="S26" s="14" t="n">
        <f aca="false">IF(Q26=0,0,IF(AND(D26&lt;&gt;"",Parametros!$B$20="NÃO"),0,MIN(Q26,Parametros!$B$19)))</f>
        <v>0</v>
      </c>
      <c r="T26" s="14" t="n">
        <f aca="false">ROUND((Q26-S26)*1440,0)/1440</f>
        <v>0</v>
      </c>
      <c r="U26" s="27" t="str">
        <f aca="false">IF(AND(OR(F26="TRABALHO",F26="PREVISTO"),D26="",R26=0,P26=""),"SIM","NÃO")</f>
        <v>SIM</v>
      </c>
      <c r="V26" s="14" t="n">
        <f aca="false">IF(U26="SIM",MAX(0,Parametros!$B$19-S26),0)</f>
        <v>0.0833333333333333</v>
      </c>
      <c r="W26" s="14" t="n">
        <f aca="false">ROUND((SUM(T$7:T25)-SUM(X$7:X25))*1440,0)/1440</f>
        <v>0</v>
      </c>
      <c r="X26" s="14" t="n">
        <f aca="false">IF(U26="SIM",MIN(V26,W26),0)</f>
        <v>0</v>
      </c>
      <c r="Y26" s="14" t="n">
        <f aca="false">S26+X26</f>
        <v>0</v>
      </c>
      <c r="Z26" s="14" t="n">
        <f aca="false">ROUND((W26+T26-X26)*1440,0)/1440</f>
        <v>0</v>
      </c>
    </row>
    <row r="27" customFormat="false" ht="18" hidden="false" customHeight="true" outlineLevel="0" collapsed="false">
      <c r="A27" s="16" t="n">
        <f aca="false">1_Ponto_Batido!A30</f>
        <v>46346</v>
      </c>
      <c r="B27" s="17" t="str">
        <f aca="false">IF(A27="","",CHOOSE(WEEKDAY(A27,2),"Segunda-feira","Terça-feira","Quarta-feira","Quinta-feira","Sexta-feira","Sábado","Domingo"))</f>
        <v>Sexta-feira</v>
      </c>
      <c r="C27" s="11"/>
      <c r="D27" s="10"/>
      <c r="E27" s="10"/>
      <c r="F27" s="27" t="str">
        <f aca="false">IF(A27="","",IF(C27&lt;&gt;"",C27,IF(1_Ponto_Batido!C30&lt;&gt;"","TRABALHO",IF(COUNTIF(Parametros!$A$35:$A$50,A27)&gt;0,"FERIADO",IF(WEEKDAY(A27,2)&gt;=6,"FOLGA","PREVISTO")))))</f>
        <v>FERIADO</v>
      </c>
      <c r="G27" s="28" t="str">
        <f aca="false">IF(OR(F27="TRABALHO",F27="PREVISTO",F27="FALTA"),IF(INDEX(Parametros!$B$25:$B$31,WEEKDAY(A27,2))&lt;&gt;"",INDEX(Parametros!$B$25:$B$31,WEEKDAY(A27,2)),""),"")</f>
        <v/>
      </c>
      <c r="H27" s="28" t="str">
        <f aca="false">IF(G27="","",INDEX(Parametros!$C$25:$C$31,WEEKDAY(A27,2)))</f>
        <v/>
      </c>
      <c r="I27" s="28" t="str">
        <f aca="false">IF(G27="","",INDEX(Parametros!$D$25:$D$31,WEEKDAY(A27,2)))</f>
        <v/>
      </c>
      <c r="J27" s="28" t="str">
        <f aca="false">IF(G27="","",IF(D27&lt;&gt;"",D27,INDEX(Parametros!$E$25:$E$31,WEEKDAY(A27,2))))</f>
        <v/>
      </c>
      <c r="K27" s="14" t="n">
        <f aca="false">IF(G27="",0,ROUND(IF(J27&lt;=H27,J27-G27,(J27-G27)-(I27-H27))*1440,0)/1440)</f>
        <v>0</v>
      </c>
      <c r="L27" s="28" t="str">
        <f aca="false">IF(F27&lt;&gt;"TRABALHO","",IF(1_Ponto_Batido!C30="","",1_Ponto_Batido!C30))</f>
        <v/>
      </c>
      <c r="M27" s="14" t="str">
        <f aca="false">IF(L27="","",IF(AND(1_Ponto_Batido!D30&lt;&gt;"",1_Ponto_Batido!E30&lt;&gt;""),1_Ponto_Batido!E30-1_Ponto_Batido!D30,IF(N27&gt;=I27,I27-H27,0)))</f>
        <v/>
      </c>
      <c r="N27" s="28" t="str">
        <f aca="false">IF(L27="","",IF(E27&lt;&gt;"",E27,MAX(1_Ponto_Batido!F30,1_Ponto_Batido!H30)))</f>
        <v/>
      </c>
      <c r="O27" s="14" t="n">
        <f aca="false">IF(F27="TRABALHO",IF(OR(L27="",N27=0),0,ROUND(MAX(0,(N27-L27)-M27)*1440,0)/1440),IF(F27="PREVISTO",K27,0))</f>
        <v>0</v>
      </c>
      <c r="P27" s="27" t="str">
        <f aca="false">IF(F27="TRABALHO",IF(OR(L27="",N27=0),"Ponto incompleto: falta entrada ou saída",IF(N27&lt;=L27,"Saída antes da entrada","")),"")</f>
        <v/>
      </c>
      <c r="Q27" s="14" t="n">
        <f aca="false">IF(OR(F27&lt;&gt;"TRABALHO",P27&lt;&gt;""),0,ROUND(MAX(0,O27-K27)*1440,0)/1440)</f>
        <v>0</v>
      </c>
      <c r="R27" s="14" t="n">
        <f aca="false">IF(F27="FALTA",K27,IF(AND(F27="TRABALHO",P27=""),ROUND(MAX(0,K27-O27)*1440,0)/1440,0))</f>
        <v>0</v>
      </c>
      <c r="S27" s="14" t="n">
        <f aca="false">IF(Q27=0,0,IF(AND(D27&lt;&gt;"",Parametros!$B$20="NÃO"),0,MIN(Q27,Parametros!$B$19)))</f>
        <v>0</v>
      </c>
      <c r="T27" s="14" t="n">
        <f aca="false">ROUND((Q27-S27)*1440,0)/1440</f>
        <v>0</v>
      </c>
      <c r="U27" s="27" t="str">
        <f aca="false">IF(AND(OR(F27="TRABALHO",F27="PREVISTO"),D27="",R27=0,P27=""),"SIM","NÃO")</f>
        <v>NÃO</v>
      </c>
      <c r="V27" s="14" t="n">
        <f aca="false">IF(U27="SIM",MAX(0,Parametros!$B$19-S27),0)</f>
        <v>0</v>
      </c>
      <c r="W27" s="14" t="n">
        <f aca="false">ROUND((SUM(T$7:T26)-SUM(X$7:X26))*1440,0)/1440</f>
        <v>0</v>
      </c>
      <c r="X27" s="14" t="n">
        <f aca="false">IF(U27="SIM",MIN(V27,W27),0)</f>
        <v>0</v>
      </c>
      <c r="Y27" s="14" t="n">
        <f aca="false">S27+X27</f>
        <v>0</v>
      </c>
      <c r="Z27" s="14" t="n">
        <f aca="false">ROUND((W27+T27-X27)*1440,0)/1440</f>
        <v>0</v>
      </c>
    </row>
    <row r="28" customFormat="false" ht="18" hidden="false" customHeight="true" outlineLevel="0" collapsed="false">
      <c r="A28" s="16" t="n">
        <f aca="false">1_Ponto_Batido!A31</f>
        <v>46347</v>
      </c>
      <c r="B28" s="17" t="str">
        <f aca="false">IF(A28="","",CHOOSE(WEEKDAY(A28,2),"Segunda-feira","Terça-feira","Quarta-feira","Quinta-feira","Sexta-feira","Sábado","Domingo"))</f>
        <v>Sábado</v>
      </c>
      <c r="C28" s="11"/>
      <c r="D28" s="10"/>
      <c r="E28" s="10"/>
      <c r="F28" s="27" t="str">
        <f aca="false">IF(A28="","",IF(C28&lt;&gt;"",C28,IF(1_Ponto_Batido!C31&lt;&gt;"","TRABALHO",IF(COUNTIF(Parametros!$A$35:$A$50,A28)&gt;0,"FERIADO",IF(WEEKDAY(A28,2)&gt;=6,"FOLGA","PREVISTO")))))</f>
        <v>FOLGA</v>
      </c>
      <c r="G28" s="28" t="str">
        <f aca="false">IF(OR(F28="TRABALHO",F28="PREVISTO",F28="FALTA"),IF(INDEX(Parametros!$B$25:$B$31,WEEKDAY(A28,2))&lt;&gt;"",INDEX(Parametros!$B$25:$B$31,WEEKDAY(A28,2)),""),"")</f>
        <v/>
      </c>
      <c r="H28" s="28" t="str">
        <f aca="false">IF(G28="","",INDEX(Parametros!$C$25:$C$31,WEEKDAY(A28,2)))</f>
        <v/>
      </c>
      <c r="I28" s="28" t="str">
        <f aca="false">IF(G28="","",INDEX(Parametros!$D$25:$D$31,WEEKDAY(A28,2)))</f>
        <v/>
      </c>
      <c r="J28" s="28" t="str">
        <f aca="false">IF(G28="","",IF(D28&lt;&gt;"",D28,INDEX(Parametros!$E$25:$E$31,WEEKDAY(A28,2))))</f>
        <v/>
      </c>
      <c r="K28" s="14" t="n">
        <f aca="false">IF(G28="",0,ROUND(IF(J28&lt;=H28,J28-G28,(J28-G28)-(I28-H28))*1440,0)/1440)</f>
        <v>0</v>
      </c>
      <c r="L28" s="28" t="str">
        <f aca="false">IF(F28&lt;&gt;"TRABALHO","",IF(1_Ponto_Batido!C31="","",1_Ponto_Batido!C31))</f>
        <v/>
      </c>
      <c r="M28" s="14" t="str">
        <f aca="false">IF(L28="","",IF(AND(1_Ponto_Batido!D31&lt;&gt;"",1_Ponto_Batido!E31&lt;&gt;""),1_Ponto_Batido!E31-1_Ponto_Batido!D31,IF(N28&gt;=I28,I28-H28,0)))</f>
        <v/>
      </c>
      <c r="N28" s="28" t="str">
        <f aca="false">IF(L28="","",IF(E28&lt;&gt;"",E28,MAX(1_Ponto_Batido!F31,1_Ponto_Batido!H31)))</f>
        <v/>
      </c>
      <c r="O28" s="14" t="n">
        <f aca="false">IF(F28="TRABALHO",IF(OR(L28="",N28=0),0,ROUND(MAX(0,(N28-L28)-M28)*1440,0)/1440),IF(F28="PREVISTO",K28,0))</f>
        <v>0</v>
      </c>
      <c r="P28" s="27" t="str">
        <f aca="false">IF(F28="TRABALHO",IF(OR(L28="",N28=0),"Ponto incompleto: falta entrada ou saída",IF(N28&lt;=L28,"Saída antes da entrada","")),"")</f>
        <v/>
      </c>
      <c r="Q28" s="14" t="n">
        <f aca="false">IF(OR(F28&lt;&gt;"TRABALHO",P28&lt;&gt;""),0,ROUND(MAX(0,O28-K28)*1440,0)/1440)</f>
        <v>0</v>
      </c>
      <c r="R28" s="14" t="n">
        <f aca="false">IF(F28="FALTA",K28,IF(AND(F28="TRABALHO",P28=""),ROUND(MAX(0,K28-O28)*1440,0)/1440,0))</f>
        <v>0</v>
      </c>
      <c r="S28" s="14" t="n">
        <f aca="false">IF(Q28=0,0,IF(AND(D28&lt;&gt;"",Parametros!$B$20="NÃO"),0,MIN(Q28,Parametros!$B$19)))</f>
        <v>0</v>
      </c>
      <c r="T28" s="14" t="n">
        <f aca="false">ROUND((Q28-S28)*1440,0)/1440</f>
        <v>0</v>
      </c>
      <c r="U28" s="27" t="str">
        <f aca="false">IF(AND(OR(F28="TRABALHO",F28="PREVISTO"),D28="",R28=0,P28=""),"SIM","NÃO")</f>
        <v>NÃO</v>
      </c>
      <c r="V28" s="14" t="n">
        <f aca="false">IF(U28="SIM",MAX(0,Parametros!$B$19-S28),0)</f>
        <v>0</v>
      </c>
      <c r="W28" s="14" t="n">
        <f aca="false">ROUND((SUM(T$7:T27)-SUM(X$7:X27))*1440,0)/1440</f>
        <v>0</v>
      </c>
      <c r="X28" s="14" t="n">
        <f aca="false">IF(U28="SIM",MIN(V28,W28),0)</f>
        <v>0</v>
      </c>
      <c r="Y28" s="14" t="n">
        <f aca="false">S28+X28</f>
        <v>0</v>
      </c>
      <c r="Z28" s="14" t="n">
        <f aca="false">ROUND((W28+T28-X28)*1440,0)/1440</f>
        <v>0</v>
      </c>
    </row>
    <row r="29" customFormat="false" ht="18" hidden="false" customHeight="true" outlineLevel="0" collapsed="false">
      <c r="A29" s="16" t="n">
        <f aca="false">1_Ponto_Batido!A32</f>
        <v>46348</v>
      </c>
      <c r="B29" s="17" t="str">
        <f aca="false">IF(A29="","",CHOOSE(WEEKDAY(A29,2),"Segunda-feira","Terça-feira","Quarta-feira","Quinta-feira","Sexta-feira","Sábado","Domingo"))</f>
        <v>Domingo</v>
      </c>
      <c r="C29" s="11"/>
      <c r="D29" s="10"/>
      <c r="E29" s="10"/>
      <c r="F29" s="27" t="str">
        <f aca="false">IF(A29="","",IF(C29&lt;&gt;"",C29,IF(1_Ponto_Batido!C32&lt;&gt;"","TRABALHO",IF(COUNTIF(Parametros!$A$35:$A$50,A29)&gt;0,"FERIADO",IF(WEEKDAY(A29,2)&gt;=6,"FOLGA","PREVISTO")))))</f>
        <v>FOLGA</v>
      </c>
      <c r="G29" s="28" t="str">
        <f aca="false">IF(OR(F29="TRABALHO",F29="PREVISTO",F29="FALTA"),IF(INDEX(Parametros!$B$25:$B$31,WEEKDAY(A29,2))&lt;&gt;"",INDEX(Parametros!$B$25:$B$31,WEEKDAY(A29,2)),""),"")</f>
        <v/>
      </c>
      <c r="H29" s="28" t="str">
        <f aca="false">IF(G29="","",INDEX(Parametros!$C$25:$C$31,WEEKDAY(A29,2)))</f>
        <v/>
      </c>
      <c r="I29" s="28" t="str">
        <f aca="false">IF(G29="","",INDEX(Parametros!$D$25:$D$31,WEEKDAY(A29,2)))</f>
        <v/>
      </c>
      <c r="J29" s="28" t="str">
        <f aca="false">IF(G29="","",IF(D29&lt;&gt;"",D29,INDEX(Parametros!$E$25:$E$31,WEEKDAY(A29,2))))</f>
        <v/>
      </c>
      <c r="K29" s="14" t="n">
        <f aca="false">IF(G29="",0,ROUND(IF(J29&lt;=H29,J29-G29,(J29-G29)-(I29-H29))*1440,0)/1440)</f>
        <v>0</v>
      </c>
      <c r="L29" s="28" t="str">
        <f aca="false">IF(F29&lt;&gt;"TRABALHO","",IF(1_Ponto_Batido!C32="","",1_Ponto_Batido!C32))</f>
        <v/>
      </c>
      <c r="M29" s="14" t="str">
        <f aca="false">IF(L29="","",IF(AND(1_Ponto_Batido!D32&lt;&gt;"",1_Ponto_Batido!E32&lt;&gt;""),1_Ponto_Batido!E32-1_Ponto_Batido!D32,IF(N29&gt;=I29,I29-H29,0)))</f>
        <v/>
      </c>
      <c r="N29" s="28" t="str">
        <f aca="false">IF(L29="","",IF(E29&lt;&gt;"",E29,MAX(1_Ponto_Batido!F32,1_Ponto_Batido!H32)))</f>
        <v/>
      </c>
      <c r="O29" s="14" t="n">
        <f aca="false">IF(F29="TRABALHO",IF(OR(L29="",N29=0),0,ROUND(MAX(0,(N29-L29)-M29)*1440,0)/1440),IF(F29="PREVISTO",K29,0))</f>
        <v>0</v>
      </c>
      <c r="P29" s="27" t="str">
        <f aca="false">IF(F29="TRABALHO",IF(OR(L29="",N29=0),"Ponto incompleto: falta entrada ou saída",IF(N29&lt;=L29,"Saída antes da entrada","")),"")</f>
        <v/>
      </c>
      <c r="Q29" s="14" t="n">
        <f aca="false">IF(OR(F29&lt;&gt;"TRABALHO",P29&lt;&gt;""),0,ROUND(MAX(0,O29-K29)*1440,0)/1440)</f>
        <v>0</v>
      </c>
      <c r="R29" s="14" t="n">
        <f aca="false">IF(F29="FALTA",K29,IF(AND(F29="TRABALHO",P29=""),ROUND(MAX(0,K29-O29)*1440,0)/1440,0))</f>
        <v>0</v>
      </c>
      <c r="S29" s="14" t="n">
        <f aca="false">IF(Q29=0,0,IF(AND(D29&lt;&gt;"",Parametros!$B$20="NÃO"),0,MIN(Q29,Parametros!$B$19)))</f>
        <v>0</v>
      </c>
      <c r="T29" s="14" t="n">
        <f aca="false">ROUND((Q29-S29)*1440,0)/1440</f>
        <v>0</v>
      </c>
      <c r="U29" s="27" t="str">
        <f aca="false">IF(AND(OR(F29="TRABALHO",F29="PREVISTO"),D29="",R29=0,P29=""),"SIM","NÃO")</f>
        <v>NÃO</v>
      </c>
      <c r="V29" s="14" t="n">
        <f aca="false">IF(U29="SIM",MAX(0,Parametros!$B$19-S29),0)</f>
        <v>0</v>
      </c>
      <c r="W29" s="14" t="n">
        <f aca="false">ROUND((SUM(T$7:T28)-SUM(X$7:X28))*1440,0)/1440</f>
        <v>0</v>
      </c>
      <c r="X29" s="14" t="n">
        <f aca="false">IF(U29="SIM",MIN(V29,W29),0)</f>
        <v>0</v>
      </c>
      <c r="Y29" s="14" t="n">
        <f aca="false">S29+X29</f>
        <v>0</v>
      </c>
      <c r="Z29" s="14" t="n">
        <f aca="false">ROUND((W29+T29-X29)*1440,0)/1440</f>
        <v>0</v>
      </c>
    </row>
    <row r="30" customFormat="false" ht="18" hidden="false" customHeight="true" outlineLevel="0" collapsed="false">
      <c r="A30" s="16" t="n">
        <f aca="false">1_Ponto_Batido!A33</f>
        <v>46349</v>
      </c>
      <c r="B30" s="17" t="str">
        <f aca="false">IF(A30="","",CHOOSE(WEEKDAY(A30,2),"Segunda-feira","Terça-feira","Quarta-feira","Quinta-feira","Sexta-feira","Sábado","Domingo"))</f>
        <v>Segunda-feira</v>
      </c>
      <c r="C30" s="11"/>
      <c r="D30" s="10"/>
      <c r="E30" s="10"/>
      <c r="F30" s="27" t="str">
        <f aca="false">IF(A30="","",IF(C30&lt;&gt;"",C30,IF(1_Ponto_Batido!C33&lt;&gt;"","TRABALHO",IF(COUNTIF(Parametros!$A$35:$A$50,A30)&gt;0,"FERIADO",IF(WEEKDAY(A30,2)&gt;=6,"FOLGA","PREVISTO")))))</f>
        <v>PREVISTO</v>
      </c>
      <c r="G30" s="28" t="n">
        <f aca="false">IF(OR(F30="TRABALHO",F30="PREVISTO",F30="FALTA"),IF(INDEX(Parametros!$B$25:$B$31,WEEKDAY(A30,2))&lt;&gt;"",INDEX(Parametros!$B$25:$B$31,WEEKDAY(A30,2)),""),"")</f>
        <v>0.333333333333333</v>
      </c>
      <c r="H30" s="28" t="n">
        <f aca="false">IF(G30="","",INDEX(Parametros!$C$25:$C$31,WEEKDAY(A30,2)))</f>
        <v>0.5</v>
      </c>
      <c r="I30" s="28" t="n">
        <f aca="false">IF(G30="","",INDEX(Parametros!$D$25:$D$31,WEEKDAY(A30,2)))</f>
        <v>0.541666666666667</v>
      </c>
      <c r="J30" s="28" t="n">
        <f aca="false">IF(G30="","",IF(D30&lt;&gt;"",D30,INDEX(Parametros!$E$25:$E$31,WEEKDAY(A30,2))))</f>
        <v>0.708333333333333</v>
      </c>
      <c r="K30" s="14" t="n">
        <f aca="false">IF(G30="",0,ROUND(IF(J30&lt;=H30,J30-G30,(J30-G30)-(I30-H30))*1440,0)/1440)</f>
        <v>0.333333333333333</v>
      </c>
      <c r="L30" s="28" t="str">
        <f aca="false">IF(F30&lt;&gt;"TRABALHO","",IF(1_Ponto_Batido!C33="","",1_Ponto_Batido!C33))</f>
        <v/>
      </c>
      <c r="M30" s="14" t="str">
        <f aca="false">IF(L30="","",IF(AND(1_Ponto_Batido!D33&lt;&gt;"",1_Ponto_Batido!E33&lt;&gt;""),1_Ponto_Batido!E33-1_Ponto_Batido!D33,IF(N30&gt;=I30,I30-H30,0)))</f>
        <v/>
      </c>
      <c r="N30" s="28" t="str">
        <f aca="false">IF(L30="","",IF(E30&lt;&gt;"",E30,MAX(1_Ponto_Batido!F33,1_Ponto_Batido!H33)))</f>
        <v/>
      </c>
      <c r="O30" s="14" t="n">
        <f aca="false">IF(F30="TRABALHO",IF(OR(L30="",N30=0),0,ROUND(MAX(0,(N30-L30)-M30)*1440,0)/1440),IF(F30="PREVISTO",K30,0))</f>
        <v>0.333333333333333</v>
      </c>
      <c r="P30" s="27" t="str">
        <f aca="false">IF(F30="TRABALHO",IF(OR(L30="",N30=0),"Ponto incompleto: falta entrada ou saída",IF(N30&lt;=L30,"Saída antes da entrada","")),"")</f>
        <v/>
      </c>
      <c r="Q30" s="14" t="n">
        <f aca="false">IF(OR(F30&lt;&gt;"TRABALHO",P30&lt;&gt;""),0,ROUND(MAX(0,O30-K30)*1440,0)/1440)</f>
        <v>0</v>
      </c>
      <c r="R30" s="14" t="n">
        <f aca="false">IF(F30="FALTA",K30,IF(AND(F30="TRABALHO",P30=""),ROUND(MAX(0,K30-O30)*1440,0)/1440,0))</f>
        <v>0</v>
      </c>
      <c r="S30" s="14" t="n">
        <f aca="false">IF(Q30=0,0,IF(AND(D30&lt;&gt;"",Parametros!$B$20="NÃO"),0,MIN(Q30,Parametros!$B$19)))</f>
        <v>0</v>
      </c>
      <c r="T30" s="14" t="n">
        <f aca="false">ROUND((Q30-S30)*1440,0)/1440</f>
        <v>0</v>
      </c>
      <c r="U30" s="27" t="str">
        <f aca="false">IF(AND(OR(F30="TRABALHO",F30="PREVISTO"),D30="",R30=0,P30=""),"SIM","NÃO")</f>
        <v>SIM</v>
      </c>
      <c r="V30" s="14" t="n">
        <f aca="false">IF(U30="SIM",MAX(0,Parametros!$B$19-S30),0)</f>
        <v>0.0833333333333333</v>
      </c>
      <c r="W30" s="14" t="n">
        <f aca="false">ROUND((SUM(T$7:T29)-SUM(X$7:X29))*1440,0)/1440</f>
        <v>0</v>
      </c>
      <c r="X30" s="14" t="n">
        <f aca="false">IF(U30="SIM",MIN(V30,W30),0)</f>
        <v>0</v>
      </c>
      <c r="Y30" s="14" t="n">
        <f aca="false">S30+X30</f>
        <v>0</v>
      </c>
      <c r="Z30" s="14" t="n">
        <f aca="false">ROUND((W30+T30-X30)*1440,0)/1440</f>
        <v>0</v>
      </c>
    </row>
    <row r="31" customFormat="false" ht="18" hidden="false" customHeight="true" outlineLevel="0" collapsed="false">
      <c r="A31" s="16" t="n">
        <f aca="false">1_Ponto_Batido!A34</f>
        <v>46350</v>
      </c>
      <c r="B31" s="17" t="str">
        <f aca="false">IF(A31="","",CHOOSE(WEEKDAY(A31,2),"Segunda-feira","Terça-feira","Quarta-feira","Quinta-feira","Sexta-feira","Sábado","Domingo"))</f>
        <v>Terça-feira</v>
      </c>
      <c r="C31" s="11"/>
      <c r="D31" s="10"/>
      <c r="E31" s="10"/>
      <c r="F31" s="27" t="str">
        <f aca="false">IF(A31="","",IF(C31&lt;&gt;"",C31,IF(1_Ponto_Batido!C34&lt;&gt;"","TRABALHO",IF(COUNTIF(Parametros!$A$35:$A$50,A31)&gt;0,"FERIADO",IF(WEEKDAY(A31,2)&gt;=6,"FOLGA","PREVISTO")))))</f>
        <v>PREVISTO</v>
      </c>
      <c r="G31" s="28" t="n">
        <f aca="false">IF(OR(F31="TRABALHO",F31="PREVISTO",F31="FALTA"),IF(INDEX(Parametros!$B$25:$B$31,WEEKDAY(A31,2))&lt;&gt;"",INDEX(Parametros!$B$25:$B$31,WEEKDAY(A31,2)),""),"")</f>
        <v>0.333333333333333</v>
      </c>
      <c r="H31" s="28" t="n">
        <f aca="false">IF(G31="","",INDEX(Parametros!$C$25:$C$31,WEEKDAY(A31,2)))</f>
        <v>0.5</v>
      </c>
      <c r="I31" s="28" t="n">
        <f aca="false">IF(G31="","",INDEX(Parametros!$D$25:$D$31,WEEKDAY(A31,2)))</f>
        <v>0.541666666666667</v>
      </c>
      <c r="J31" s="28" t="n">
        <f aca="false">IF(G31="","",IF(D31&lt;&gt;"",D31,INDEX(Parametros!$E$25:$E$31,WEEKDAY(A31,2))))</f>
        <v>0.708333333333333</v>
      </c>
      <c r="K31" s="14" t="n">
        <f aca="false">IF(G31="",0,ROUND(IF(J31&lt;=H31,J31-G31,(J31-G31)-(I31-H31))*1440,0)/1440)</f>
        <v>0.333333333333333</v>
      </c>
      <c r="L31" s="28" t="str">
        <f aca="false">IF(F31&lt;&gt;"TRABALHO","",IF(1_Ponto_Batido!C34="","",1_Ponto_Batido!C34))</f>
        <v/>
      </c>
      <c r="M31" s="14" t="str">
        <f aca="false">IF(L31="","",IF(AND(1_Ponto_Batido!D34&lt;&gt;"",1_Ponto_Batido!E34&lt;&gt;""),1_Ponto_Batido!E34-1_Ponto_Batido!D34,IF(N31&gt;=I31,I31-H31,0)))</f>
        <v/>
      </c>
      <c r="N31" s="28" t="str">
        <f aca="false">IF(L31="","",IF(E31&lt;&gt;"",E31,MAX(1_Ponto_Batido!F34,1_Ponto_Batido!H34)))</f>
        <v/>
      </c>
      <c r="O31" s="14" t="n">
        <f aca="false">IF(F31="TRABALHO",IF(OR(L31="",N31=0),0,ROUND(MAX(0,(N31-L31)-M31)*1440,0)/1440),IF(F31="PREVISTO",K31,0))</f>
        <v>0.333333333333333</v>
      </c>
      <c r="P31" s="27" t="str">
        <f aca="false">IF(F31="TRABALHO",IF(OR(L31="",N31=0),"Ponto incompleto: falta entrada ou saída",IF(N31&lt;=L31,"Saída antes da entrada","")),"")</f>
        <v/>
      </c>
      <c r="Q31" s="14" t="n">
        <f aca="false">IF(OR(F31&lt;&gt;"TRABALHO",P31&lt;&gt;""),0,ROUND(MAX(0,O31-K31)*1440,0)/1440)</f>
        <v>0</v>
      </c>
      <c r="R31" s="14" t="n">
        <f aca="false">IF(F31="FALTA",K31,IF(AND(F31="TRABALHO",P31=""),ROUND(MAX(0,K31-O31)*1440,0)/1440,0))</f>
        <v>0</v>
      </c>
      <c r="S31" s="14" t="n">
        <f aca="false">IF(Q31=0,0,IF(AND(D31&lt;&gt;"",Parametros!$B$20="NÃO"),0,MIN(Q31,Parametros!$B$19)))</f>
        <v>0</v>
      </c>
      <c r="T31" s="14" t="n">
        <f aca="false">ROUND((Q31-S31)*1440,0)/1440</f>
        <v>0</v>
      </c>
      <c r="U31" s="27" t="str">
        <f aca="false">IF(AND(OR(F31="TRABALHO",F31="PREVISTO"),D31="",R31=0,P31=""),"SIM","NÃO")</f>
        <v>SIM</v>
      </c>
      <c r="V31" s="14" t="n">
        <f aca="false">IF(U31="SIM",MAX(0,Parametros!$B$19-S31),0)</f>
        <v>0.0833333333333333</v>
      </c>
      <c r="W31" s="14" t="n">
        <f aca="false">ROUND((SUM(T$7:T30)-SUM(X$7:X30))*1440,0)/1440</f>
        <v>0</v>
      </c>
      <c r="X31" s="14" t="n">
        <f aca="false">IF(U31="SIM",MIN(V31,W31),0)</f>
        <v>0</v>
      </c>
      <c r="Y31" s="14" t="n">
        <f aca="false">S31+X31</f>
        <v>0</v>
      </c>
      <c r="Z31" s="14" t="n">
        <f aca="false">ROUND((W31+T31-X31)*1440,0)/1440</f>
        <v>0</v>
      </c>
    </row>
    <row r="32" customFormat="false" ht="18" hidden="false" customHeight="true" outlineLevel="0" collapsed="false">
      <c r="A32" s="16" t="n">
        <f aca="false">1_Ponto_Batido!A35</f>
        <v>46351</v>
      </c>
      <c r="B32" s="17" t="str">
        <f aca="false">IF(A32="","",CHOOSE(WEEKDAY(A32,2),"Segunda-feira","Terça-feira","Quarta-feira","Quinta-feira","Sexta-feira","Sábado","Domingo"))</f>
        <v>Quarta-feira</v>
      </c>
      <c r="C32" s="11"/>
      <c r="D32" s="10"/>
      <c r="E32" s="10"/>
      <c r="F32" s="27" t="str">
        <f aca="false">IF(A32="","",IF(C32&lt;&gt;"",C32,IF(1_Ponto_Batido!C35&lt;&gt;"","TRABALHO",IF(COUNTIF(Parametros!$A$35:$A$50,A32)&gt;0,"FERIADO",IF(WEEKDAY(A32,2)&gt;=6,"FOLGA","PREVISTO")))))</f>
        <v>PREVISTO</v>
      </c>
      <c r="G32" s="28" t="n">
        <f aca="false">IF(OR(F32="TRABALHO",F32="PREVISTO",F32="FALTA"),IF(INDEX(Parametros!$B$25:$B$31,WEEKDAY(A32,2))&lt;&gt;"",INDEX(Parametros!$B$25:$B$31,WEEKDAY(A32,2)),""),"")</f>
        <v>0.333333333333333</v>
      </c>
      <c r="H32" s="28" t="n">
        <f aca="false">IF(G32="","",INDEX(Parametros!$C$25:$C$31,WEEKDAY(A32,2)))</f>
        <v>0.5</v>
      </c>
      <c r="I32" s="28" t="n">
        <f aca="false">IF(G32="","",INDEX(Parametros!$D$25:$D$31,WEEKDAY(A32,2)))</f>
        <v>0.541666666666667</v>
      </c>
      <c r="J32" s="28" t="n">
        <f aca="false">IF(G32="","",IF(D32&lt;&gt;"",D32,INDEX(Parametros!$E$25:$E$31,WEEKDAY(A32,2))))</f>
        <v>0.708333333333333</v>
      </c>
      <c r="K32" s="14" t="n">
        <f aca="false">IF(G32="",0,ROUND(IF(J32&lt;=H32,J32-G32,(J32-G32)-(I32-H32))*1440,0)/1440)</f>
        <v>0.333333333333333</v>
      </c>
      <c r="L32" s="28" t="str">
        <f aca="false">IF(F32&lt;&gt;"TRABALHO","",IF(1_Ponto_Batido!C35="","",1_Ponto_Batido!C35))</f>
        <v/>
      </c>
      <c r="M32" s="14" t="str">
        <f aca="false">IF(L32="","",IF(AND(1_Ponto_Batido!D35&lt;&gt;"",1_Ponto_Batido!E35&lt;&gt;""),1_Ponto_Batido!E35-1_Ponto_Batido!D35,IF(N32&gt;=I32,I32-H32,0)))</f>
        <v/>
      </c>
      <c r="N32" s="28" t="str">
        <f aca="false">IF(L32="","",IF(E32&lt;&gt;"",E32,MAX(1_Ponto_Batido!F35,1_Ponto_Batido!H35)))</f>
        <v/>
      </c>
      <c r="O32" s="14" t="n">
        <f aca="false">IF(F32="TRABALHO",IF(OR(L32="",N32=0),0,ROUND(MAX(0,(N32-L32)-M32)*1440,0)/1440),IF(F32="PREVISTO",K32,0))</f>
        <v>0.333333333333333</v>
      </c>
      <c r="P32" s="27" t="str">
        <f aca="false">IF(F32="TRABALHO",IF(OR(L32="",N32=0),"Ponto incompleto: falta entrada ou saída",IF(N32&lt;=L32,"Saída antes da entrada","")),"")</f>
        <v/>
      </c>
      <c r="Q32" s="14" t="n">
        <f aca="false">IF(OR(F32&lt;&gt;"TRABALHO",P32&lt;&gt;""),0,ROUND(MAX(0,O32-K32)*1440,0)/1440)</f>
        <v>0</v>
      </c>
      <c r="R32" s="14" t="n">
        <f aca="false">IF(F32="FALTA",K32,IF(AND(F32="TRABALHO",P32=""),ROUND(MAX(0,K32-O32)*1440,0)/1440,0))</f>
        <v>0</v>
      </c>
      <c r="S32" s="14" t="n">
        <f aca="false">IF(Q32=0,0,IF(AND(D32&lt;&gt;"",Parametros!$B$20="NÃO"),0,MIN(Q32,Parametros!$B$19)))</f>
        <v>0</v>
      </c>
      <c r="T32" s="14" t="n">
        <f aca="false">ROUND((Q32-S32)*1440,0)/1440</f>
        <v>0</v>
      </c>
      <c r="U32" s="27" t="str">
        <f aca="false">IF(AND(OR(F32="TRABALHO",F32="PREVISTO"),D32="",R32=0,P32=""),"SIM","NÃO")</f>
        <v>SIM</v>
      </c>
      <c r="V32" s="14" t="n">
        <f aca="false">IF(U32="SIM",MAX(0,Parametros!$B$19-S32),0)</f>
        <v>0.0833333333333333</v>
      </c>
      <c r="W32" s="14" t="n">
        <f aca="false">ROUND((SUM(T$7:T31)-SUM(X$7:X31))*1440,0)/1440</f>
        <v>0</v>
      </c>
      <c r="X32" s="14" t="n">
        <f aca="false">IF(U32="SIM",MIN(V32,W32),0)</f>
        <v>0</v>
      </c>
      <c r="Y32" s="14" t="n">
        <f aca="false">S32+X32</f>
        <v>0</v>
      </c>
      <c r="Z32" s="14" t="n">
        <f aca="false">ROUND((W32+T32-X32)*1440,0)/1440</f>
        <v>0</v>
      </c>
    </row>
    <row r="33" customFormat="false" ht="18" hidden="false" customHeight="true" outlineLevel="0" collapsed="false">
      <c r="A33" s="16" t="n">
        <f aca="false">1_Ponto_Batido!A36</f>
        <v>46352</v>
      </c>
      <c r="B33" s="17" t="str">
        <f aca="false">IF(A33="","",CHOOSE(WEEKDAY(A33,2),"Segunda-feira","Terça-feira","Quarta-feira","Quinta-feira","Sexta-feira","Sábado","Domingo"))</f>
        <v>Quinta-feira</v>
      </c>
      <c r="C33" s="11"/>
      <c r="D33" s="10"/>
      <c r="E33" s="10"/>
      <c r="F33" s="27" t="str">
        <f aca="false">IF(A33="","",IF(C33&lt;&gt;"",C33,IF(1_Ponto_Batido!C36&lt;&gt;"","TRABALHO",IF(COUNTIF(Parametros!$A$35:$A$50,A33)&gt;0,"FERIADO",IF(WEEKDAY(A33,2)&gt;=6,"FOLGA","PREVISTO")))))</f>
        <v>PREVISTO</v>
      </c>
      <c r="G33" s="28" t="n">
        <f aca="false">IF(OR(F33="TRABALHO",F33="PREVISTO",F33="FALTA"),IF(INDEX(Parametros!$B$25:$B$31,WEEKDAY(A33,2))&lt;&gt;"",INDEX(Parametros!$B$25:$B$31,WEEKDAY(A33,2)),""),"")</f>
        <v>0.333333333333333</v>
      </c>
      <c r="H33" s="28" t="n">
        <f aca="false">IF(G33="","",INDEX(Parametros!$C$25:$C$31,WEEKDAY(A33,2)))</f>
        <v>0.5</v>
      </c>
      <c r="I33" s="28" t="n">
        <f aca="false">IF(G33="","",INDEX(Parametros!$D$25:$D$31,WEEKDAY(A33,2)))</f>
        <v>0.541666666666667</v>
      </c>
      <c r="J33" s="28" t="n">
        <f aca="false">IF(G33="","",IF(D33&lt;&gt;"",D33,INDEX(Parametros!$E$25:$E$31,WEEKDAY(A33,2))))</f>
        <v>0.708333333333333</v>
      </c>
      <c r="K33" s="14" t="n">
        <f aca="false">IF(G33="",0,ROUND(IF(J33&lt;=H33,J33-G33,(J33-G33)-(I33-H33))*1440,0)/1440)</f>
        <v>0.333333333333333</v>
      </c>
      <c r="L33" s="28" t="str">
        <f aca="false">IF(F33&lt;&gt;"TRABALHO","",IF(1_Ponto_Batido!C36="","",1_Ponto_Batido!C36))</f>
        <v/>
      </c>
      <c r="M33" s="14" t="str">
        <f aca="false">IF(L33="","",IF(AND(1_Ponto_Batido!D36&lt;&gt;"",1_Ponto_Batido!E36&lt;&gt;""),1_Ponto_Batido!E36-1_Ponto_Batido!D36,IF(N33&gt;=I33,I33-H33,0)))</f>
        <v/>
      </c>
      <c r="N33" s="28" t="str">
        <f aca="false">IF(L33="","",IF(E33&lt;&gt;"",E33,MAX(1_Ponto_Batido!F36,1_Ponto_Batido!H36)))</f>
        <v/>
      </c>
      <c r="O33" s="14" t="n">
        <f aca="false">IF(F33="TRABALHO",IF(OR(L33="",N33=0),0,ROUND(MAX(0,(N33-L33)-M33)*1440,0)/1440),IF(F33="PREVISTO",K33,0))</f>
        <v>0.333333333333333</v>
      </c>
      <c r="P33" s="27" t="str">
        <f aca="false">IF(F33="TRABALHO",IF(OR(L33="",N33=0),"Ponto incompleto: falta entrada ou saída",IF(N33&lt;=L33,"Saída antes da entrada","")),"")</f>
        <v/>
      </c>
      <c r="Q33" s="14" t="n">
        <f aca="false">IF(OR(F33&lt;&gt;"TRABALHO",P33&lt;&gt;""),0,ROUND(MAX(0,O33-K33)*1440,0)/1440)</f>
        <v>0</v>
      </c>
      <c r="R33" s="14" t="n">
        <f aca="false">IF(F33="FALTA",K33,IF(AND(F33="TRABALHO",P33=""),ROUND(MAX(0,K33-O33)*1440,0)/1440,0))</f>
        <v>0</v>
      </c>
      <c r="S33" s="14" t="n">
        <f aca="false">IF(Q33=0,0,IF(AND(D33&lt;&gt;"",Parametros!$B$20="NÃO"),0,MIN(Q33,Parametros!$B$19)))</f>
        <v>0</v>
      </c>
      <c r="T33" s="14" t="n">
        <f aca="false">ROUND((Q33-S33)*1440,0)/1440</f>
        <v>0</v>
      </c>
      <c r="U33" s="27" t="str">
        <f aca="false">IF(AND(OR(F33="TRABALHO",F33="PREVISTO"),D33="",R33=0,P33=""),"SIM","NÃO")</f>
        <v>SIM</v>
      </c>
      <c r="V33" s="14" t="n">
        <f aca="false">IF(U33="SIM",MAX(0,Parametros!$B$19-S33),0)</f>
        <v>0.0833333333333333</v>
      </c>
      <c r="W33" s="14" t="n">
        <f aca="false">ROUND((SUM(T$7:T32)-SUM(X$7:X32))*1440,0)/1440</f>
        <v>0</v>
      </c>
      <c r="X33" s="14" t="n">
        <f aca="false">IF(U33="SIM",MIN(V33,W33),0)</f>
        <v>0</v>
      </c>
      <c r="Y33" s="14" t="n">
        <f aca="false">S33+X33</f>
        <v>0</v>
      </c>
      <c r="Z33" s="14" t="n">
        <f aca="false">ROUND((W33+T33-X33)*1440,0)/1440</f>
        <v>0</v>
      </c>
    </row>
    <row r="34" customFormat="false" ht="18" hidden="false" customHeight="true" outlineLevel="0" collapsed="false">
      <c r="A34" s="16" t="n">
        <f aca="false">1_Ponto_Batido!A37</f>
        <v>46353</v>
      </c>
      <c r="B34" s="17" t="str">
        <f aca="false">IF(A34="","",CHOOSE(WEEKDAY(A34,2),"Segunda-feira","Terça-feira","Quarta-feira","Quinta-feira","Sexta-feira","Sábado","Domingo"))</f>
        <v>Sexta-feira</v>
      </c>
      <c r="C34" s="11"/>
      <c r="D34" s="10"/>
      <c r="E34" s="10"/>
      <c r="F34" s="27" t="str">
        <f aca="false">IF(A34="","",IF(C34&lt;&gt;"",C34,IF(1_Ponto_Batido!C37&lt;&gt;"","TRABALHO",IF(COUNTIF(Parametros!$A$35:$A$50,A34)&gt;0,"FERIADO",IF(WEEKDAY(A34,2)&gt;=6,"FOLGA","PREVISTO")))))</f>
        <v>PREVISTO</v>
      </c>
      <c r="G34" s="28" t="n">
        <f aca="false">IF(OR(F34="TRABALHO",F34="PREVISTO",F34="FALTA"),IF(INDEX(Parametros!$B$25:$B$31,WEEKDAY(A34,2))&lt;&gt;"",INDEX(Parametros!$B$25:$B$31,WEEKDAY(A34,2)),""),"")</f>
        <v>0.333333333333333</v>
      </c>
      <c r="H34" s="28" t="n">
        <f aca="false">IF(G34="","",INDEX(Parametros!$C$25:$C$31,WEEKDAY(A34,2)))</f>
        <v>0.5</v>
      </c>
      <c r="I34" s="28" t="n">
        <f aca="false">IF(G34="","",INDEX(Parametros!$D$25:$D$31,WEEKDAY(A34,2)))</f>
        <v>0.541666666666667</v>
      </c>
      <c r="J34" s="28" t="n">
        <f aca="false">IF(G34="","",IF(D34&lt;&gt;"",D34,INDEX(Parametros!$E$25:$E$31,WEEKDAY(A34,2))))</f>
        <v>0.708333333333333</v>
      </c>
      <c r="K34" s="14" t="n">
        <f aca="false">IF(G34="",0,ROUND(IF(J34&lt;=H34,J34-G34,(J34-G34)-(I34-H34))*1440,0)/1440)</f>
        <v>0.333333333333333</v>
      </c>
      <c r="L34" s="28" t="str">
        <f aca="false">IF(F34&lt;&gt;"TRABALHO","",IF(1_Ponto_Batido!C37="","",1_Ponto_Batido!C37))</f>
        <v/>
      </c>
      <c r="M34" s="14" t="str">
        <f aca="false">IF(L34="","",IF(AND(1_Ponto_Batido!D37&lt;&gt;"",1_Ponto_Batido!E37&lt;&gt;""),1_Ponto_Batido!E37-1_Ponto_Batido!D37,IF(N34&gt;=I34,I34-H34,0)))</f>
        <v/>
      </c>
      <c r="N34" s="28" t="str">
        <f aca="false">IF(L34="","",IF(E34&lt;&gt;"",E34,MAX(1_Ponto_Batido!F37,1_Ponto_Batido!H37)))</f>
        <v/>
      </c>
      <c r="O34" s="14" t="n">
        <f aca="false">IF(F34="TRABALHO",IF(OR(L34="",N34=0),0,ROUND(MAX(0,(N34-L34)-M34)*1440,0)/1440),IF(F34="PREVISTO",K34,0))</f>
        <v>0.333333333333333</v>
      </c>
      <c r="P34" s="27" t="str">
        <f aca="false">IF(F34="TRABALHO",IF(OR(L34="",N34=0),"Ponto incompleto: falta entrada ou saída",IF(N34&lt;=L34,"Saída antes da entrada","")),"")</f>
        <v/>
      </c>
      <c r="Q34" s="14" t="n">
        <f aca="false">IF(OR(F34&lt;&gt;"TRABALHO",P34&lt;&gt;""),0,ROUND(MAX(0,O34-K34)*1440,0)/1440)</f>
        <v>0</v>
      </c>
      <c r="R34" s="14" t="n">
        <f aca="false">IF(F34="FALTA",K34,IF(AND(F34="TRABALHO",P34=""),ROUND(MAX(0,K34-O34)*1440,0)/1440,0))</f>
        <v>0</v>
      </c>
      <c r="S34" s="14" t="n">
        <f aca="false">IF(Q34=0,0,IF(AND(D34&lt;&gt;"",Parametros!$B$20="NÃO"),0,MIN(Q34,Parametros!$B$19)))</f>
        <v>0</v>
      </c>
      <c r="T34" s="14" t="n">
        <f aca="false">ROUND((Q34-S34)*1440,0)/1440</f>
        <v>0</v>
      </c>
      <c r="U34" s="27" t="str">
        <f aca="false">IF(AND(OR(F34="TRABALHO",F34="PREVISTO"),D34="",R34=0,P34=""),"SIM","NÃO")</f>
        <v>SIM</v>
      </c>
      <c r="V34" s="14" t="n">
        <f aca="false">IF(U34="SIM",MAX(0,Parametros!$B$19-S34),0)</f>
        <v>0.0833333333333333</v>
      </c>
      <c r="W34" s="14" t="n">
        <f aca="false">ROUND((SUM(T$7:T33)-SUM(X$7:X33))*1440,0)/1440</f>
        <v>0</v>
      </c>
      <c r="X34" s="14" t="n">
        <f aca="false">IF(U34="SIM",MIN(V34,W34),0)</f>
        <v>0</v>
      </c>
      <c r="Y34" s="14" t="n">
        <f aca="false">S34+X34</f>
        <v>0</v>
      </c>
      <c r="Z34" s="14" t="n">
        <f aca="false">ROUND((W34+T34-X34)*1440,0)/1440</f>
        <v>0</v>
      </c>
    </row>
    <row r="35" customFormat="false" ht="18" hidden="false" customHeight="true" outlineLevel="0" collapsed="false">
      <c r="A35" s="16" t="n">
        <f aca="false">1_Ponto_Batido!A38</f>
        <v>46354</v>
      </c>
      <c r="B35" s="17" t="str">
        <f aca="false">IF(A35="","",CHOOSE(WEEKDAY(A35,2),"Segunda-feira","Terça-feira","Quarta-feira","Quinta-feira","Sexta-feira","Sábado","Domingo"))</f>
        <v>Sábado</v>
      </c>
      <c r="C35" s="11"/>
      <c r="D35" s="10"/>
      <c r="E35" s="10"/>
      <c r="F35" s="27" t="str">
        <f aca="false">IF(A35="","",IF(C35&lt;&gt;"",C35,IF(1_Ponto_Batido!C38&lt;&gt;"","TRABALHO",IF(COUNTIF(Parametros!$A$35:$A$50,A35)&gt;0,"FERIADO",IF(WEEKDAY(A35,2)&gt;=6,"FOLGA","PREVISTO")))))</f>
        <v>FOLGA</v>
      </c>
      <c r="G35" s="28" t="str">
        <f aca="false">IF(OR(F35="TRABALHO",F35="PREVISTO",F35="FALTA"),IF(INDEX(Parametros!$B$25:$B$31,WEEKDAY(A35,2))&lt;&gt;"",INDEX(Parametros!$B$25:$B$31,WEEKDAY(A35,2)),""),"")</f>
        <v/>
      </c>
      <c r="H35" s="28" t="str">
        <f aca="false">IF(G35="","",INDEX(Parametros!$C$25:$C$31,WEEKDAY(A35,2)))</f>
        <v/>
      </c>
      <c r="I35" s="28" t="str">
        <f aca="false">IF(G35="","",INDEX(Parametros!$D$25:$D$31,WEEKDAY(A35,2)))</f>
        <v/>
      </c>
      <c r="J35" s="28" t="str">
        <f aca="false">IF(G35="","",IF(D35&lt;&gt;"",D35,INDEX(Parametros!$E$25:$E$31,WEEKDAY(A35,2))))</f>
        <v/>
      </c>
      <c r="K35" s="14" t="n">
        <f aca="false">IF(G35="",0,ROUND(IF(J35&lt;=H35,J35-G35,(J35-G35)-(I35-H35))*1440,0)/1440)</f>
        <v>0</v>
      </c>
      <c r="L35" s="28" t="str">
        <f aca="false">IF(F35&lt;&gt;"TRABALHO","",IF(1_Ponto_Batido!C38="","",1_Ponto_Batido!C38))</f>
        <v/>
      </c>
      <c r="M35" s="14" t="str">
        <f aca="false">IF(L35="","",IF(AND(1_Ponto_Batido!D38&lt;&gt;"",1_Ponto_Batido!E38&lt;&gt;""),1_Ponto_Batido!E38-1_Ponto_Batido!D38,IF(N35&gt;=I35,I35-H35,0)))</f>
        <v/>
      </c>
      <c r="N35" s="28" t="str">
        <f aca="false">IF(L35="","",IF(E35&lt;&gt;"",E35,MAX(1_Ponto_Batido!F38,1_Ponto_Batido!H38)))</f>
        <v/>
      </c>
      <c r="O35" s="14" t="n">
        <f aca="false">IF(F35="TRABALHO",IF(OR(L35="",N35=0),0,ROUND(MAX(0,(N35-L35)-M35)*1440,0)/1440),IF(F35="PREVISTO",K35,0))</f>
        <v>0</v>
      </c>
      <c r="P35" s="27" t="str">
        <f aca="false">IF(F35="TRABALHO",IF(OR(L35="",N35=0),"Ponto incompleto: falta entrada ou saída",IF(N35&lt;=L35,"Saída antes da entrada","")),"")</f>
        <v/>
      </c>
      <c r="Q35" s="14" t="n">
        <f aca="false">IF(OR(F35&lt;&gt;"TRABALHO",P35&lt;&gt;""),0,ROUND(MAX(0,O35-K35)*1440,0)/1440)</f>
        <v>0</v>
      </c>
      <c r="R35" s="14" t="n">
        <f aca="false">IF(F35="FALTA",K35,IF(AND(F35="TRABALHO",P35=""),ROUND(MAX(0,K35-O35)*1440,0)/1440,0))</f>
        <v>0</v>
      </c>
      <c r="S35" s="14" t="n">
        <f aca="false">IF(Q35=0,0,IF(AND(D35&lt;&gt;"",Parametros!$B$20="NÃO"),0,MIN(Q35,Parametros!$B$19)))</f>
        <v>0</v>
      </c>
      <c r="T35" s="14" t="n">
        <f aca="false">ROUND((Q35-S35)*1440,0)/1440</f>
        <v>0</v>
      </c>
      <c r="U35" s="27" t="str">
        <f aca="false">IF(AND(OR(F35="TRABALHO",F35="PREVISTO"),D35="",R35=0,P35=""),"SIM","NÃO")</f>
        <v>NÃO</v>
      </c>
      <c r="V35" s="14" t="n">
        <f aca="false">IF(U35="SIM",MAX(0,Parametros!$B$19-S35),0)</f>
        <v>0</v>
      </c>
      <c r="W35" s="14" t="n">
        <f aca="false">ROUND((SUM(T$7:T34)-SUM(X$7:X34))*1440,0)/1440</f>
        <v>0</v>
      </c>
      <c r="X35" s="14" t="n">
        <f aca="false">IF(U35="SIM",MIN(V35,W35),0)</f>
        <v>0</v>
      </c>
      <c r="Y35" s="14" t="n">
        <f aca="false">S35+X35</f>
        <v>0</v>
      </c>
      <c r="Z35" s="14" t="n">
        <f aca="false">ROUND((W35+T35-X35)*1440,0)/1440</f>
        <v>0</v>
      </c>
    </row>
    <row r="36" customFormat="false" ht="18" hidden="false" customHeight="true" outlineLevel="0" collapsed="false">
      <c r="A36" s="16" t="n">
        <f aca="false">1_Ponto_Batido!A39</f>
        <v>46355</v>
      </c>
      <c r="B36" s="17" t="str">
        <f aca="false">IF(A36="","",CHOOSE(WEEKDAY(A36,2),"Segunda-feira","Terça-feira","Quarta-feira","Quinta-feira","Sexta-feira","Sábado","Domingo"))</f>
        <v>Domingo</v>
      </c>
      <c r="C36" s="11"/>
      <c r="D36" s="10"/>
      <c r="E36" s="10"/>
      <c r="F36" s="27" t="str">
        <f aca="false">IF(A36="","",IF(C36&lt;&gt;"",C36,IF(1_Ponto_Batido!C39&lt;&gt;"","TRABALHO",IF(COUNTIF(Parametros!$A$35:$A$50,A36)&gt;0,"FERIADO",IF(WEEKDAY(A36,2)&gt;=6,"FOLGA","PREVISTO")))))</f>
        <v>FOLGA</v>
      </c>
      <c r="G36" s="28" t="str">
        <f aca="false">IF(OR(F36="TRABALHO",F36="PREVISTO",F36="FALTA"),IF(INDEX(Parametros!$B$25:$B$31,WEEKDAY(A36,2))&lt;&gt;"",INDEX(Parametros!$B$25:$B$31,WEEKDAY(A36,2)),""),"")</f>
        <v/>
      </c>
      <c r="H36" s="28" t="str">
        <f aca="false">IF(G36="","",INDEX(Parametros!$C$25:$C$31,WEEKDAY(A36,2)))</f>
        <v/>
      </c>
      <c r="I36" s="28" t="str">
        <f aca="false">IF(G36="","",INDEX(Parametros!$D$25:$D$31,WEEKDAY(A36,2)))</f>
        <v/>
      </c>
      <c r="J36" s="28" t="str">
        <f aca="false">IF(G36="","",IF(D36&lt;&gt;"",D36,INDEX(Parametros!$E$25:$E$31,WEEKDAY(A36,2))))</f>
        <v/>
      </c>
      <c r="K36" s="14" t="n">
        <f aca="false">IF(G36="",0,ROUND(IF(J36&lt;=H36,J36-G36,(J36-G36)-(I36-H36))*1440,0)/1440)</f>
        <v>0</v>
      </c>
      <c r="L36" s="28" t="str">
        <f aca="false">IF(F36&lt;&gt;"TRABALHO","",IF(1_Ponto_Batido!C39="","",1_Ponto_Batido!C39))</f>
        <v/>
      </c>
      <c r="M36" s="14" t="str">
        <f aca="false">IF(L36="","",IF(AND(1_Ponto_Batido!D39&lt;&gt;"",1_Ponto_Batido!E39&lt;&gt;""),1_Ponto_Batido!E39-1_Ponto_Batido!D39,IF(N36&gt;=I36,I36-H36,0)))</f>
        <v/>
      </c>
      <c r="N36" s="28" t="str">
        <f aca="false">IF(L36="","",IF(E36&lt;&gt;"",E36,MAX(1_Ponto_Batido!F39,1_Ponto_Batido!H39)))</f>
        <v/>
      </c>
      <c r="O36" s="14" t="n">
        <f aca="false">IF(F36="TRABALHO",IF(OR(L36="",N36=0),0,ROUND(MAX(0,(N36-L36)-M36)*1440,0)/1440),IF(F36="PREVISTO",K36,0))</f>
        <v>0</v>
      </c>
      <c r="P36" s="27" t="str">
        <f aca="false">IF(F36="TRABALHO",IF(OR(L36="",N36=0),"Ponto incompleto: falta entrada ou saída",IF(N36&lt;=L36,"Saída antes da entrada","")),"")</f>
        <v/>
      </c>
      <c r="Q36" s="14" t="n">
        <f aca="false">IF(OR(F36&lt;&gt;"TRABALHO",P36&lt;&gt;""),0,ROUND(MAX(0,O36-K36)*1440,0)/1440)</f>
        <v>0</v>
      </c>
      <c r="R36" s="14" t="n">
        <f aca="false">IF(F36="FALTA",K36,IF(AND(F36="TRABALHO",P36=""),ROUND(MAX(0,K36-O36)*1440,0)/1440,0))</f>
        <v>0</v>
      </c>
      <c r="S36" s="14" t="n">
        <f aca="false">IF(Q36=0,0,IF(AND(D36&lt;&gt;"",Parametros!$B$20="NÃO"),0,MIN(Q36,Parametros!$B$19)))</f>
        <v>0</v>
      </c>
      <c r="T36" s="14" t="n">
        <f aca="false">ROUND((Q36-S36)*1440,0)/1440</f>
        <v>0</v>
      </c>
      <c r="U36" s="27" t="str">
        <f aca="false">IF(AND(OR(F36="TRABALHO",F36="PREVISTO"),D36="",R36=0,P36=""),"SIM","NÃO")</f>
        <v>NÃO</v>
      </c>
      <c r="V36" s="14" t="n">
        <f aca="false">IF(U36="SIM",MAX(0,Parametros!$B$19-S36),0)</f>
        <v>0</v>
      </c>
      <c r="W36" s="14" t="n">
        <f aca="false">ROUND((SUM(T$7:T35)-SUM(X$7:X35))*1440,0)/1440</f>
        <v>0</v>
      </c>
      <c r="X36" s="14" t="n">
        <f aca="false">IF(U36="SIM",MIN(V36,W36),0)</f>
        <v>0</v>
      </c>
      <c r="Y36" s="14" t="n">
        <f aca="false">S36+X36</f>
        <v>0</v>
      </c>
      <c r="Z36" s="14" t="n">
        <f aca="false">ROUND((W36+T36-X36)*1440,0)/1440</f>
        <v>0</v>
      </c>
    </row>
    <row r="37" customFormat="false" ht="18" hidden="false" customHeight="true" outlineLevel="0" collapsed="false">
      <c r="A37" s="16" t="n">
        <f aca="false">1_Ponto_Batido!A40</f>
        <v>46356</v>
      </c>
      <c r="B37" s="17" t="str">
        <f aca="false">IF(A37="","",CHOOSE(WEEKDAY(A37,2),"Segunda-feira","Terça-feira","Quarta-feira","Quinta-feira","Sexta-feira","Sábado","Domingo"))</f>
        <v>Segunda-feira</v>
      </c>
      <c r="C37" s="11"/>
      <c r="D37" s="10"/>
      <c r="E37" s="10"/>
      <c r="F37" s="27" t="str">
        <f aca="false">IF(A37="","",IF(C37&lt;&gt;"",C37,IF(1_Ponto_Batido!C40&lt;&gt;"","TRABALHO",IF(COUNTIF(Parametros!$A$35:$A$50,A37)&gt;0,"FERIADO",IF(WEEKDAY(A37,2)&gt;=6,"FOLGA","PREVISTO")))))</f>
        <v>PREVISTO</v>
      </c>
      <c r="G37" s="28" t="n">
        <f aca="false">IF(OR(F37="TRABALHO",F37="PREVISTO",F37="FALTA"),IF(INDEX(Parametros!$B$25:$B$31,WEEKDAY(A37,2))&lt;&gt;"",INDEX(Parametros!$B$25:$B$31,WEEKDAY(A37,2)),""),"")</f>
        <v>0.333333333333333</v>
      </c>
      <c r="H37" s="28" t="n">
        <f aca="false">IF(G37="","",INDEX(Parametros!$C$25:$C$31,WEEKDAY(A37,2)))</f>
        <v>0.5</v>
      </c>
      <c r="I37" s="28" t="n">
        <f aca="false">IF(G37="","",INDEX(Parametros!$D$25:$D$31,WEEKDAY(A37,2)))</f>
        <v>0.541666666666667</v>
      </c>
      <c r="J37" s="28" t="n">
        <f aca="false">IF(G37="","",IF(D37&lt;&gt;"",D37,INDEX(Parametros!$E$25:$E$31,WEEKDAY(A37,2))))</f>
        <v>0.708333333333333</v>
      </c>
      <c r="K37" s="14" t="n">
        <f aca="false">IF(G37="",0,ROUND(IF(J37&lt;=H37,J37-G37,(J37-G37)-(I37-H37))*1440,0)/1440)</f>
        <v>0.333333333333333</v>
      </c>
      <c r="L37" s="28" t="str">
        <f aca="false">IF(F37&lt;&gt;"TRABALHO","",IF(1_Ponto_Batido!C40="","",1_Ponto_Batido!C40))</f>
        <v/>
      </c>
      <c r="M37" s="14" t="str">
        <f aca="false">IF(L37="","",IF(AND(1_Ponto_Batido!D40&lt;&gt;"",1_Ponto_Batido!E40&lt;&gt;""),1_Ponto_Batido!E40-1_Ponto_Batido!D40,IF(N37&gt;=I37,I37-H37,0)))</f>
        <v/>
      </c>
      <c r="N37" s="28" t="str">
        <f aca="false">IF(L37="","",IF(E37&lt;&gt;"",E37,MAX(1_Ponto_Batido!F40,1_Ponto_Batido!H40)))</f>
        <v/>
      </c>
      <c r="O37" s="14" t="n">
        <f aca="false">IF(F37="TRABALHO",IF(OR(L37="",N37=0),0,ROUND(MAX(0,(N37-L37)-M37)*1440,0)/1440),IF(F37="PREVISTO",K37,0))</f>
        <v>0.333333333333333</v>
      </c>
      <c r="P37" s="27" t="str">
        <f aca="false">IF(F37="TRABALHO",IF(OR(L37="",N37=0),"Ponto incompleto: falta entrada ou saída",IF(N37&lt;=L37,"Saída antes da entrada","")),"")</f>
        <v/>
      </c>
      <c r="Q37" s="14" t="n">
        <f aca="false">IF(OR(F37&lt;&gt;"TRABALHO",P37&lt;&gt;""),0,ROUND(MAX(0,O37-K37)*1440,0)/1440)</f>
        <v>0</v>
      </c>
      <c r="R37" s="14" t="n">
        <f aca="false">IF(F37="FALTA",K37,IF(AND(F37="TRABALHO",P37=""),ROUND(MAX(0,K37-O37)*1440,0)/1440,0))</f>
        <v>0</v>
      </c>
      <c r="S37" s="14" t="n">
        <f aca="false">IF(Q37=0,0,IF(AND(D37&lt;&gt;"",Parametros!$B$20="NÃO"),0,MIN(Q37,Parametros!$B$19)))</f>
        <v>0</v>
      </c>
      <c r="T37" s="14" t="n">
        <f aca="false">ROUND((Q37-S37)*1440,0)/1440</f>
        <v>0</v>
      </c>
      <c r="U37" s="27" t="str">
        <f aca="false">IF(AND(OR(F37="TRABALHO",F37="PREVISTO"),D37="",R37=0,P37=""),"SIM","NÃO")</f>
        <v>SIM</v>
      </c>
      <c r="V37" s="14" t="n">
        <f aca="false">IF(U37="SIM",MAX(0,Parametros!$B$19-S37),0)</f>
        <v>0.0833333333333333</v>
      </c>
      <c r="W37" s="14" t="n">
        <f aca="false">ROUND((SUM(T$7:T36)-SUM(X$7:X36))*1440,0)/1440</f>
        <v>0</v>
      </c>
      <c r="X37" s="14" t="n">
        <f aca="false">IF(U37="SIM",MIN(V37,W37),0)</f>
        <v>0</v>
      </c>
      <c r="Y37" s="14" t="n">
        <f aca="false">S37+X37</f>
        <v>0</v>
      </c>
      <c r="Z37" s="14" t="n">
        <f aca="false">ROUND((W37+T37-X37)*1440,0)/1440</f>
        <v>0</v>
      </c>
    </row>
    <row r="38" customFormat="false" ht="18" hidden="false" customHeight="true" outlineLevel="0" collapsed="false">
      <c r="A38" s="16" t="str">
        <f aca="false">1_Ponto_Batido!A41</f>
        <v/>
      </c>
      <c r="B38" s="17" t="str">
        <f aca="false">IF(A38="","",CHOOSE(WEEKDAY(A38,2),"Segunda-feira","Terça-feira","Quarta-feira","Quinta-feira","Sexta-feira","Sábado","Domingo"))</f>
        <v/>
      </c>
      <c r="C38" s="11"/>
      <c r="D38" s="10"/>
      <c r="E38" s="10"/>
      <c r="F38" s="27" t="str">
        <f aca="false">IF(A38="","",IF(C38&lt;&gt;"",C38,IF(1_Ponto_Batido!C41&lt;&gt;"","TRABALHO",IF(COUNTIF(Parametros!$A$35:$A$50,A38)&gt;0,"FERIADO",IF(WEEKDAY(A38,2)&gt;=6,"FOLGA","PREVISTO")))))</f>
        <v/>
      </c>
      <c r="G38" s="28" t="str">
        <f aca="false">IF(OR(F38="TRABALHO",F38="PREVISTO",F38="FALTA"),IF(INDEX(Parametros!$B$25:$B$31,WEEKDAY(A38,2))&lt;&gt;"",INDEX(Parametros!$B$25:$B$31,WEEKDAY(A38,2)),""),"")</f>
        <v/>
      </c>
      <c r="H38" s="28" t="str">
        <f aca="false">IF(G38="","",INDEX(Parametros!$C$25:$C$31,WEEKDAY(A38,2)))</f>
        <v/>
      </c>
      <c r="I38" s="28" t="str">
        <f aca="false">IF(G38="","",INDEX(Parametros!$D$25:$D$31,WEEKDAY(A38,2)))</f>
        <v/>
      </c>
      <c r="J38" s="28" t="str">
        <f aca="false">IF(G38="","",IF(D38&lt;&gt;"",D38,INDEX(Parametros!$E$25:$E$31,WEEKDAY(A38,2))))</f>
        <v/>
      </c>
      <c r="K38" s="14" t="n">
        <f aca="false">IF(G38="",0,ROUND(IF(J38&lt;=H38,J38-G38,(J38-G38)-(I38-H38))*1440,0)/1440)</f>
        <v>0</v>
      </c>
      <c r="L38" s="28" t="str">
        <f aca="false">IF(F38&lt;&gt;"TRABALHO","",IF(1_Ponto_Batido!C41="","",1_Ponto_Batido!C41))</f>
        <v/>
      </c>
      <c r="M38" s="14" t="str">
        <f aca="false">IF(L38="","",IF(AND(1_Ponto_Batido!D41&lt;&gt;"",1_Ponto_Batido!E41&lt;&gt;""),1_Ponto_Batido!E41-1_Ponto_Batido!D41,IF(N38&gt;=I38,I38-H38,0)))</f>
        <v/>
      </c>
      <c r="N38" s="28" t="str">
        <f aca="false">IF(L38="","",IF(E38&lt;&gt;"",E38,MAX(1_Ponto_Batido!F41,1_Ponto_Batido!H41)))</f>
        <v/>
      </c>
      <c r="O38" s="14" t="n">
        <f aca="false">IF(F38="TRABALHO",IF(OR(L38="",N38=0),0,ROUND(MAX(0,(N38-L38)-M38)*1440,0)/1440),IF(F38="PREVISTO",K38,0))</f>
        <v>0</v>
      </c>
      <c r="P38" s="27" t="str">
        <f aca="false">IF(F38="TRABALHO",IF(OR(L38="",N38=0),"Ponto incompleto: falta entrada ou saída",IF(N38&lt;=L38,"Saída antes da entrada","")),"")</f>
        <v/>
      </c>
      <c r="Q38" s="14" t="n">
        <f aca="false">IF(OR(F38&lt;&gt;"TRABALHO",P38&lt;&gt;""),0,ROUND(MAX(0,O38-K38)*1440,0)/1440)</f>
        <v>0</v>
      </c>
      <c r="R38" s="14" t="n">
        <f aca="false">IF(F38="FALTA",K38,IF(AND(F38="TRABALHO",P38=""),ROUND(MAX(0,K38-O38)*1440,0)/1440,0))</f>
        <v>0</v>
      </c>
      <c r="S38" s="14" t="n">
        <f aca="false">IF(Q38=0,0,IF(AND(D38&lt;&gt;"",Parametros!$B$20="NÃO"),0,MIN(Q38,Parametros!$B$19)))</f>
        <v>0</v>
      </c>
      <c r="T38" s="14" t="n">
        <f aca="false">ROUND((Q38-S38)*1440,0)/1440</f>
        <v>0</v>
      </c>
      <c r="U38" s="27" t="str">
        <f aca="false">IF(AND(OR(F38="TRABALHO",F38="PREVISTO"),D38="",R38=0,P38=""),"SIM","NÃO")</f>
        <v>NÃO</v>
      </c>
      <c r="V38" s="14" t="n">
        <f aca="false">IF(U38="SIM",MAX(0,Parametros!$B$19-S38),0)</f>
        <v>0</v>
      </c>
      <c r="W38" s="14" t="n">
        <f aca="false">ROUND((SUM(T$7:T37)-SUM(X$7:X37))*1440,0)/1440</f>
        <v>0</v>
      </c>
      <c r="X38" s="14" t="n">
        <f aca="false">IF(U38="SIM",MIN(V38,W38),0)</f>
        <v>0</v>
      </c>
      <c r="Y38" s="14" t="n">
        <f aca="false">S38+X38</f>
        <v>0</v>
      </c>
      <c r="Z38" s="14" t="n">
        <f aca="false">ROUND((W38+T38-X38)*1440,0)/1440</f>
        <v>0</v>
      </c>
    </row>
    <row r="39" customFormat="false" ht="15" hidden="false" customHeight="true" outlineLevel="0" collapsed="false">
      <c r="A39" s="5" t="s">
        <v>135</v>
      </c>
      <c r="B39" s="5"/>
      <c r="C39" s="5"/>
      <c r="D39" s="5"/>
      <c r="E39" s="5"/>
      <c r="F39" s="5"/>
      <c r="G39" s="5"/>
      <c r="H39" s="5"/>
      <c r="I39" s="5"/>
      <c r="J39" s="5"/>
      <c r="K39" s="29" t="n">
        <f aca="false">SUM(K8:K38)</f>
        <v>6.33333333333333</v>
      </c>
      <c r="L39" s="30"/>
      <c r="M39" s="30"/>
      <c r="N39" s="30"/>
      <c r="O39" s="29" t="n">
        <f aca="false">SUM(O8:O38)</f>
        <v>6.33333333333333</v>
      </c>
      <c r="P39" s="30"/>
      <c r="Q39" s="29" t="n">
        <f aca="false">SUM(Q8:Q38)</f>
        <v>0</v>
      </c>
      <c r="R39" s="29" t="n">
        <f aca="false">SUM(R8:R38)</f>
        <v>0</v>
      </c>
      <c r="S39" s="29" t="n">
        <f aca="false">SUM(S8:S38)</f>
        <v>0</v>
      </c>
      <c r="T39" s="29" t="n">
        <f aca="false">SUM(T8:T38)</f>
        <v>0</v>
      </c>
      <c r="U39" s="30"/>
      <c r="V39" s="30"/>
      <c r="W39" s="30"/>
      <c r="X39" s="29" t="n">
        <f aca="false">SUM(X8:X38)</f>
        <v>0</v>
      </c>
      <c r="Y39" s="29" t="n">
        <f aca="false">SUM(Y8:Y38)</f>
        <v>0</v>
      </c>
      <c r="Z39" s="30"/>
    </row>
    <row r="41" customFormat="false" ht="15" hidden="false" customHeight="true" outlineLevel="0" collapsed="false">
      <c r="A41" s="5" t="s">
        <v>136</v>
      </c>
      <c r="B41" s="5"/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A42" s="31" t="s">
        <v>137</v>
      </c>
      <c r="B42" s="31"/>
      <c r="C42" s="31"/>
      <c r="D42" s="31"/>
      <c r="E42" s="31"/>
      <c r="F42" s="31"/>
      <c r="G42" s="29" t="n">
        <f aca="false">Q39</f>
        <v>0</v>
      </c>
      <c r="H42" s="29"/>
    </row>
    <row r="43" customFormat="false" ht="15" hidden="false" customHeight="true" outlineLevel="0" collapsed="false">
      <c r="A43" s="31" t="s">
        <v>138</v>
      </c>
      <c r="B43" s="31"/>
      <c r="C43" s="31"/>
      <c r="D43" s="31"/>
      <c r="E43" s="31"/>
      <c r="F43" s="31"/>
      <c r="G43" s="29" t="n">
        <f aca="false">S39</f>
        <v>0</v>
      </c>
      <c r="H43" s="29"/>
    </row>
    <row r="44" customFormat="false" ht="15" hidden="false" customHeight="true" outlineLevel="0" collapsed="false">
      <c r="A44" s="31" t="s">
        <v>139</v>
      </c>
      <c r="B44" s="31"/>
      <c r="C44" s="31"/>
      <c r="D44" s="31"/>
      <c r="E44" s="31"/>
      <c r="F44" s="31"/>
      <c r="G44" s="29" t="n">
        <f aca="false">T39</f>
        <v>0</v>
      </c>
      <c r="H44" s="29"/>
    </row>
    <row r="45" customFormat="false" ht="15" hidden="false" customHeight="true" outlineLevel="0" collapsed="false">
      <c r="A45" s="31" t="s">
        <v>140</v>
      </c>
      <c r="B45" s="31"/>
      <c r="C45" s="31"/>
      <c r="D45" s="31"/>
      <c r="E45" s="31"/>
      <c r="F45" s="31"/>
      <c r="G45" s="29" t="n">
        <f aca="false">X39</f>
        <v>0</v>
      </c>
      <c r="H45" s="29"/>
    </row>
    <row r="46" customFormat="false" ht="15" hidden="false" customHeight="true" outlineLevel="0" collapsed="false">
      <c r="A46" s="9" t="s">
        <v>141</v>
      </c>
      <c r="B46" s="9"/>
      <c r="C46" s="9"/>
      <c r="D46" s="9"/>
      <c r="E46" s="9"/>
      <c r="F46" s="9"/>
      <c r="G46" s="29" t="n">
        <f aca="false">ROUND((T39-X39)*1440,0)/1440</f>
        <v>0</v>
      </c>
      <c r="H46" s="29"/>
    </row>
    <row r="47" customFormat="false" ht="15" hidden="false" customHeight="true" outlineLevel="0" collapsed="false">
      <c r="A47" s="9" t="s">
        <v>142</v>
      </c>
      <c r="B47" s="9"/>
      <c r="C47" s="9"/>
      <c r="D47" s="9"/>
      <c r="E47" s="9"/>
      <c r="F47" s="9"/>
      <c r="G47" s="29" t="n">
        <f aca="false">Y39</f>
        <v>0</v>
      </c>
      <c r="H47" s="29"/>
    </row>
    <row r="48" customFormat="false" ht="15" hidden="false" customHeight="true" outlineLevel="0" collapsed="false">
      <c r="A48" s="31" t="s">
        <v>143</v>
      </c>
      <c r="B48" s="31"/>
      <c r="C48" s="31"/>
      <c r="D48" s="31"/>
      <c r="E48" s="31"/>
      <c r="F48" s="31"/>
      <c r="G48" s="29" t="n">
        <f aca="false">R39</f>
        <v>0</v>
      </c>
      <c r="H48" s="29"/>
    </row>
    <row r="49" customFormat="false" ht="15" hidden="false" customHeight="true" outlineLevel="0" collapsed="false">
      <c r="A49" s="9" t="s">
        <v>144</v>
      </c>
      <c r="B49" s="9"/>
      <c r="C49" s="9"/>
      <c r="D49" s="9"/>
      <c r="E49" s="9"/>
      <c r="F49" s="9"/>
      <c r="G49" s="29" t="str">
        <f aca="false">IF(Q39&gt;=R39,"+"&amp;TEXT(Q39-R39,"[h]:mm"),"-"&amp;TEXT(R39-Q39,"[h]:mm"))</f>
        <v>+0:00</v>
      </c>
      <c r="H49" s="29"/>
    </row>
    <row r="50" customFormat="false" ht="15" hidden="false" customHeight="true" outlineLevel="0" collapsed="false">
      <c r="A50" s="9" t="s">
        <v>145</v>
      </c>
      <c r="B50" s="9"/>
      <c r="C50" s="9"/>
      <c r="D50" s="9"/>
      <c r="E50" s="9"/>
      <c r="F50" s="9"/>
      <c r="G50" s="29" t="str">
        <f aca="false">IF(ROUND((Q39-Y39-(T39-X39))*1440,0)=0,"OK","DIVERGENTE – revise")</f>
        <v>OK</v>
      </c>
      <c r="H50" s="29"/>
    </row>
    <row r="51" customFormat="false" ht="15" hidden="false" customHeight="true" outlineLevel="0" collapsed="false">
      <c r="A51" s="9" t="s">
        <v>146</v>
      </c>
      <c r="B51" s="9"/>
      <c r="C51" s="9"/>
      <c r="D51" s="9"/>
      <c r="E51" s="9"/>
      <c r="F51" s="9"/>
      <c r="G51" s="29" t="str">
        <f aca="false">IF(SUMPRODUCT((Y8:Y38&gt;Parametros!B19+0.000001)*1)=0,"OK","DIVERGENTE – revise")</f>
        <v>OK</v>
      </c>
      <c r="H51" s="29"/>
    </row>
    <row r="52" customFormat="false" ht="15" hidden="false" customHeight="true" outlineLevel="0" collapsed="false">
      <c r="A52" s="31" t="s">
        <v>147</v>
      </c>
      <c r="B52" s="31"/>
      <c r="C52" s="31"/>
      <c r="D52" s="31"/>
      <c r="E52" s="31"/>
      <c r="F52" s="31"/>
      <c r="G52" s="32" t="n">
        <f aca="false">COUNTIF(P8:P38,"?*")</f>
        <v>0</v>
      </c>
      <c r="H52" s="32"/>
    </row>
  </sheetData>
  <mergeCells count="32">
    <mergeCell ref="A1:P1"/>
    <mergeCell ref="A5:B5"/>
    <mergeCell ref="C5:F5"/>
    <mergeCell ref="G5:K5"/>
    <mergeCell ref="L5:P5"/>
    <mergeCell ref="Q5:T5"/>
    <mergeCell ref="U5:X5"/>
    <mergeCell ref="Y5:Z5"/>
    <mergeCell ref="A39:J39"/>
    <mergeCell ref="A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6:F46"/>
    <mergeCell ref="G46:H46"/>
    <mergeCell ref="A47:F47"/>
    <mergeCell ref="G47:H47"/>
    <mergeCell ref="A48:F48"/>
    <mergeCell ref="G48:H48"/>
    <mergeCell ref="A49:F49"/>
    <mergeCell ref="G49:H49"/>
    <mergeCell ref="A50:F50"/>
    <mergeCell ref="G50:H50"/>
    <mergeCell ref="A51:F51"/>
    <mergeCell ref="G51:H51"/>
    <mergeCell ref="A52:F52"/>
    <mergeCell ref="G52:H52"/>
  </mergeCells>
  <conditionalFormatting sqref="A8:B38">
    <cfRule type="expression" priority="2" aboveAverage="0" equalAverage="0" bottom="0" percent="0" rank="0" text="" dxfId="0">
      <formula>AND($A8&lt;&gt;"",WEEKDAY($A8,2)&gt;=6)</formula>
    </cfRule>
  </conditionalFormatting>
  <conditionalFormatting sqref="F8:F38">
    <cfRule type="expression" priority="3" aboveAverage="0" equalAverage="0" bottom="0" percent="0" rank="0" text="" dxfId="0">
      <formula>OR($F8="FOLGA",$F8="FERIADO")</formula>
    </cfRule>
    <cfRule type="expression" priority="4" aboveAverage="0" equalAverage="0" bottom="0" percent="0" rank="0" text="" dxfId="1">
      <formula>$F8="PREVISTO"</formula>
    </cfRule>
  </conditionalFormatting>
  <conditionalFormatting sqref="R8:R38">
    <cfRule type="expression" priority="5" aboveAverage="0" equalAverage="0" bottom="0" percent="0" rank="0" text="" dxfId="2">
      <formula>$R8&gt;0</formula>
    </cfRule>
  </conditionalFormatting>
  <conditionalFormatting sqref="S8:S38">
    <cfRule type="expression" priority="6" aboveAverage="0" equalAverage="0" bottom="0" percent="0" rank="0" text="" dxfId="3">
      <formula>$S8&gt;0</formula>
    </cfRule>
  </conditionalFormatting>
  <conditionalFormatting sqref="T8:T38">
    <cfRule type="expression" priority="7" aboveAverage="0" equalAverage="0" bottom="0" percent="0" rank="0" text="" dxfId="4">
      <formula>$T8&gt;0</formula>
    </cfRule>
  </conditionalFormatting>
  <conditionalFormatting sqref="X8:X38">
    <cfRule type="expression" priority="8" aboveAverage="0" equalAverage="0" bottom="0" percent="0" rank="0" text="" dxfId="5">
      <formula>$X8&gt;0</formula>
    </cfRule>
  </conditionalFormatting>
  <conditionalFormatting sqref="P8:P38">
    <cfRule type="expression" priority="9" aboveAverage="0" equalAverage="0" bottom="0" percent="0" rank="0" text="" dxfId="6">
      <formula>$P8&lt;&gt;""</formula>
    </cfRule>
  </conditionalFormatting>
  <dataValidations count="1">
    <dataValidation allowBlank="true" error="Use: TRABALHO, PREVISTO, FOLGA, FERIADO ou FALTA" errorStyle="stop" operator="between" showDropDown="false" showErrorMessage="false" showInputMessage="false" sqref="C8:C38" type="list">
      <formula1>"TRABALHO,PREVISTO,FOLGA,FERIADO,FALTA"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5"/>
    <col collapsed="false" customWidth="true" hidden="false" outlineLevel="0" max="8" min="3" style="0" width="9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05"/>
  </cols>
  <sheetData>
    <row r="1" customFormat="false" ht="18.65" hidden="false" customHeight="false" outlineLevel="0" collapsed="false">
      <c r="A1" s="1" t="str">
        <f aca="false">"3 – FOLHA DE PONTO AJUSTADA: HORAS EXTRAS LIMITADAS A "&amp;TEXT(Parametros!B19,"h:mm")&amp;"H POR DIA E COMPENSAÇÃO"</f>
        <v>3 – FOLHA DE PONTO AJUSTADA: HORAS EXTRAS LIMITADAS A 2:00H POR DIA E COMPENSAÇÃO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4" t="s">
        <v>148</v>
      </c>
    </row>
    <row r="3" customFormat="false" ht="21" hidden="false" customHeight="true" outlineLevel="0" collapsed="false">
      <c r="A3" s="9" t="str">
        <f aca="false">" EMPREGADOR: "&amp;Parametros!B4</f>
        <v> EMPREGADOR: </v>
      </c>
      <c r="B3" s="9"/>
      <c r="C3" s="9"/>
      <c r="D3" s="9"/>
      <c r="E3" s="9"/>
      <c r="F3" s="9"/>
      <c r="G3" s="9"/>
      <c r="H3" s="9"/>
      <c r="I3" s="9" t="str">
        <f aca="false">"CEI / CNPJ Nº: "&amp;Parametros!B5</f>
        <v>CEI / CNPJ Nº: </v>
      </c>
      <c r="J3" s="9"/>
      <c r="K3" s="9"/>
      <c r="L3" s="9"/>
      <c r="M3" s="9"/>
      <c r="N3" s="9"/>
    </row>
    <row r="4" customFormat="false" ht="21" hidden="false" customHeight="true" outlineLevel="0" collapsed="false">
      <c r="A4" s="9" t="str">
        <f aca="false">" ENDEREÇO: "&amp;Parametros!B6</f>
        <v> ENDEREÇO: </v>
      </c>
      <c r="B4" s="9"/>
      <c r="C4" s="9"/>
      <c r="D4" s="9"/>
      <c r="E4" s="9"/>
      <c r="F4" s="9"/>
      <c r="G4" s="9"/>
      <c r="H4" s="9"/>
      <c r="I4" s="9" t="str">
        <f aca="false">"DATA DE ADMISSÃO: "&amp;IF(Parametros!B10="","",TEXT(Parametros!B10,"dd/mm/yyyy"))</f>
        <v>DATA DE ADMISSÃO: </v>
      </c>
      <c r="J4" s="9"/>
      <c r="K4" s="9"/>
      <c r="L4" s="9"/>
      <c r="M4" s="9"/>
      <c r="N4" s="9"/>
    </row>
    <row r="5" customFormat="false" ht="21" hidden="false" customHeight="true" outlineLevel="0" collapsed="false">
      <c r="A5" s="9" t="str">
        <f aca="false">" EMPREGADO(A): "&amp;Parametros!B7</f>
        <v> EMPREGADO(A): </v>
      </c>
      <c r="B5" s="9"/>
      <c r="C5" s="9"/>
      <c r="D5" s="9"/>
      <c r="E5" s="9"/>
      <c r="F5" s="9"/>
      <c r="G5" s="9"/>
      <c r="H5" s="9"/>
      <c r="I5" s="9" t="str">
        <f aca="false">"CTPS Nº E SÉRIE: "&amp;Parametros!B9</f>
        <v>CTPS Nº E SÉRIE: </v>
      </c>
      <c r="J5" s="9"/>
      <c r="K5" s="9"/>
      <c r="L5" s="9"/>
      <c r="M5" s="9"/>
      <c r="N5" s="9"/>
    </row>
    <row r="6" customFormat="false" ht="21" hidden="false" customHeight="true" outlineLevel="0" collapsed="false">
      <c r="A6" s="9" t="str">
        <f aca="false">" FUNÇÃO: "&amp;Parametros!B8</f>
        <v> FUNÇÃO: </v>
      </c>
      <c r="B6" s="9"/>
      <c r="C6" s="9"/>
      <c r="D6" s="9"/>
      <c r="E6" s="9"/>
      <c r="F6" s="9"/>
      <c r="G6" s="9"/>
      <c r="H6" s="9"/>
      <c r="I6" s="9" t="str">
        <f aca="false">"HORÁRIO SEG. A SEXTA: "&amp;Parametros!B11</f>
        <v>HORÁRIO SEG. A SEXTA: </v>
      </c>
      <c r="J6" s="9"/>
      <c r="K6" s="9"/>
      <c r="L6" s="9"/>
      <c r="M6" s="9"/>
      <c r="N6" s="9"/>
    </row>
    <row r="7" customFormat="false" ht="21" hidden="false" customHeight="true" outlineLevel="0" collapsed="false">
      <c r="A7" s="9" t="str">
        <f aca="false">" HORÁRIO AOS SÁBADOS: "&amp;Parametros!B12</f>
        <v> HORÁRIO AOS SÁBADOS: </v>
      </c>
      <c r="B7" s="9"/>
      <c r="C7" s="9"/>
      <c r="D7" s="9"/>
      <c r="E7" s="9" t="str">
        <f aca="false">"DESCANSO SEMANAL: "&amp;Parametros!B13</f>
        <v>DESCANSO SEMANAL: </v>
      </c>
      <c r="F7" s="9"/>
      <c r="G7" s="9"/>
      <c r="H7" s="9"/>
      <c r="I7" s="9" t="str">
        <f aca="false">"MÊS: "&amp;Parametros!B15&amp;"        ANO: "&amp;Parametros!B16</f>
        <v>MÊS: NOVEMBRO        ANO: 2026</v>
      </c>
      <c r="J7" s="9"/>
      <c r="K7" s="9"/>
      <c r="L7" s="9"/>
      <c r="M7" s="9"/>
      <c r="N7" s="9"/>
    </row>
    <row r="9" customFormat="false" ht="31.5" hidden="false" customHeight="true" outlineLevel="0" collapsed="false">
      <c r="A9" s="5" t="s">
        <v>73</v>
      </c>
      <c r="B9" s="5" t="s">
        <v>45</v>
      </c>
      <c r="C9" s="5" t="s">
        <v>46</v>
      </c>
      <c r="D9" s="5" t="s">
        <v>74</v>
      </c>
      <c r="E9" s="5"/>
      <c r="F9" s="5" t="s">
        <v>49</v>
      </c>
      <c r="G9" s="5" t="s">
        <v>75</v>
      </c>
      <c r="H9" s="5"/>
      <c r="I9" s="5" t="s">
        <v>100</v>
      </c>
      <c r="J9" s="5" t="s">
        <v>149</v>
      </c>
      <c r="K9" s="5" t="s">
        <v>150</v>
      </c>
      <c r="L9" s="5" t="s">
        <v>76</v>
      </c>
      <c r="M9" s="5" t="s">
        <v>77</v>
      </c>
      <c r="N9" s="5" t="s">
        <v>151</v>
      </c>
    </row>
    <row r="10" customFormat="false" ht="28.35" hidden="false" customHeight="false" outlineLevel="0" collapsed="false">
      <c r="A10" s="5"/>
      <c r="B10" s="5"/>
      <c r="C10" s="5"/>
      <c r="D10" s="13" t="s">
        <v>79</v>
      </c>
      <c r="E10" s="13" t="s">
        <v>48</v>
      </c>
      <c r="F10" s="5"/>
      <c r="G10" s="13" t="s">
        <v>46</v>
      </c>
      <c r="H10" s="13" t="s">
        <v>49</v>
      </c>
      <c r="I10" s="5"/>
      <c r="J10" s="5"/>
      <c r="K10" s="5"/>
      <c r="L10" s="5"/>
      <c r="M10" s="5"/>
      <c r="N10" s="5"/>
    </row>
    <row r="11" customFormat="false" ht="31.5" hidden="false" customHeight="true" outlineLevel="0" collapsed="false">
      <c r="A11" s="16" t="n">
        <f aca="false">2_Analise!A8</f>
        <v>46327</v>
      </c>
      <c r="B11" s="17" t="str">
        <f aca="false">2_Analise!B8</f>
        <v>Domingo</v>
      </c>
      <c r="C11" s="28" t="str">
        <f aca="false">IF(OR(2_Analise!F8="TRABALHO",2_Analise!F8="PREVISTO"),IF(2_Analise!R8&gt;0,2_Analise!L8,2_Analise!G8),"")</f>
        <v/>
      </c>
      <c r="D11" s="28" t="str">
        <f aca="false">IF(C11="","",IF(F11&gt;2_Analise!H8,2_Analise!H8,""))</f>
        <v/>
      </c>
      <c r="E11" s="28" t="str">
        <f aca="false">IF(D11="","",2_Analise!I8)</f>
        <v/>
      </c>
      <c r="F11" s="28" t="str">
        <f aca="false">IF(C11="","",IF(2_Analise!R8&gt;0,2_Analise!N8,2_Analise!J8))</f>
        <v/>
      </c>
      <c r="G11" s="28" t="str">
        <f aca="false">IF(N(2_Analise!Y8)&gt;0,2_Analise!J8,"")</f>
        <v/>
      </c>
      <c r="H11" s="28" t="str">
        <f aca="false">IF(G11="","",ROUND((2_Analise!J8+2_Analise!Y8)*1440,0)/1440)</f>
        <v/>
      </c>
      <c r="I11" s="33" t="str">
        <f aca="false">IF(C11="","",ROUND((IF(H11&lt;&gt;"",H11,F11)-C11-IF(D11&lt;&gt;"",E11-D11,0))*1440,0)/1440)</f>
        <v/>
      </c>
      <c r="J11" s="33" t="str">
        <f aca="false">IF(N(2_Analise!Y8)&gt;0,2_Analise!Y8,"")</f>
        <v/>
      </c>
      <c r="K11" s="17" t="str">
        <f aca="false">IF(2_Analise!F8="","",IF(2_Analise!F8="FOLGA","FOLGA",IF(2_Analise!F8="FERIADO","FERIADO",IF(2_Analise!F8="FALTA","FALTA",IF(2_Analise!X8&gt;0,IF(2_Analise!S8&gt;0,"EXTRA + COMPENSAÇÃO","COMPENSAÇÃO"),IF(2_Analise!S8&gt;0,"EXTRA",IF(2_Analise!T8&gt;0,"EXTRA A COMPENSAR",IF(2_Analise!R8&gt;0,"DESCONTO PROVÁVEL",IF(2_Analise!F8="PREVISTO","PREVISTO","NORMAL")))))))))</f>
        <v>FOLGA</v>
      </c>
      <c r="L11" s="34"/>
      <c r="M11" s="34"/>
      <c r="N11" s="31" t="str">
        <f aca="false">IF(2_Analise!F8="","",IF(2_Analise!F8="FOLGA","FOLGA",IF(2_Analise!F8="FERIADO","FERIADO"&amp;IFERROR(" – "&amp;INDEX(Parametros!$B$35:$B$50,MATCH(A11,Parametros!$A$35:$A$50,0)),""),IF(2_Analise!F8="FALTA","FALTA: desconto de "&amp;IF(MINUTE(2_Analise!R8)=0,HOUR(2_Analise!R8)&amp;"h",HOUR(2_Analise!R8)&amp;"h"&amp;TEXT(MINUTE(2_Analise!R8),"00"))&amp;" (horário exigido não cumprido).",IF(2_Analise!P8&lt;&gt;"","CONFERIR: "&amp;2_Analise!P8&amp;". Complete a aba 1.",IF(2_Analise!R8&gt;0,"DESCONTO PROVÁVEL de "&amp;IF(MINUTE(2_Analise!R8)=0,HOUR(2_Analise!R8)&amp;"h",HOUR(2_Analise!R8)&amp;"h"&amp;TEXT(MINUTE(2_Analise!R8),"00"))&amp;": exigido "&amp;IF(MINUTE(2_Analise!K8)=0,HOUR(2_Analise!K8)&amp;"h",HOUR(2_Analise!K8)&amp;"h"&amp;TEXT(MINUTE(2_Analise!K8),"00"))&amp;", cumprido "&amp;IF(MINUTE(2_Analise!O8)=0,HOUR(2_Analise!O8)&amp;"h",HOUR(2_Analise!O8)&amp;"h"&amp;TEXT(MINUTE(2_Analise!O8),"00"))&amp;".",IF(2_Analise!X8&gt;0,IF(2_Analise!S8&gt;0,"EXTRA "&amp;IF(MINUTE(2_Analise!S8)=0,HOUR(2_Analise!S8)&amp;"h",HOUR(2_Analise!S8)&amp;"h"&amp;TEXT(MINUTE(2_Analise!S8),"00"))&amp;" e COMPENSAÇÃO DE "&amp;IF(MINUTE(2_Analise!X8)=0,HOUR(2_Analise!X8)&amp;"h",HOUR(2_Analise!X8)&amp;"h"&amp;TEXT(MINUTE(2_Analise!X8),"00"))&amp;" (horas excedentes de outros dias).","COMPENSAÇÃO DE "&amp;IF(MINUTE(2_Analise!X8)=0,HOUR(2_Analise!X8)&amp;"h",HOUR(2_Analise!X8)&amp;"h"&amp;TEXT(MINUTE(2_Analise!X8),"00"))&amp;": horas extras excedentes de outros dias, lançadas neste dia para respeitar o limite diário."),IF(AND(2_Analise!S8&gt;0,2_Analise!T8&gt;0),TEXT(A11,"dd/mm")&amp;": extras de "&amp;IF(MINUTE(2_Analise!Q8)=0,HOUR(2_Analise!Q8)&amp;"h",HOUR(2_Analise!Q8)&amp;"h"&amp;TEXT(MINUTE(2_Analise!Q8),"00"))&amp;". Lançadas "&amp;IF(MINUTE(2_Analise!S8)=0,HOUR(2_Analise!S8)&amp;"h",HOUR(2_Analise!S8)&amp;"h"&amp;TEXT(MINUTE(2_Analise!S8),"00"))&amp;" no dia (limite de "&amp;IF(MINUTE(Parametros!$B$19)=0,HOUR(Parametros!$B$19)&amp;"h",HOUR(Parametros!$B$19)&amp;"h"&amp;TEXT(MINUTE(Parametros!$B$19),"00"))&amp;") e "&amp;IF(MINUTE(2_Analise!T8)=0,HOUR(2_Analise!T8)&amp;"h",HOUR(2_Analise!T8)&amp;"h"&amp;TEXT(MINUTE(2_Analise!T8),"00"))&amp;" a compensar em outros dias.",IF(2_Analise!T8&gt;0,TEXT(A11,"dd/mm")&amp;": funcionária permaneceu em atividade até "&amp;IF(MINUTE(2_Analise!N8)=0,HOUR(2_Analise!N8)&amp;"h",HOUR(2_Analise!N8)&amp;"h"&amp;TEXT(MINUTE(2_Analise!N8),"00"))&amp;" por necessidade do serviço"&amp;IF(2_Analise!D8&lt;&gt;"",". Diretoria liberou os demais colaboradores às "&amp;IF(MINUTE(2_Analise!D8)=0,HOUR(2_Analise!D8)&amp;"h",HOUR(2_Analise!D8)&amp;"h"&amp;TEXT(MINUTE(2_Analise!D8),"00")),"")&amp;". Extras: "&amp;IF(MINUTE(2_Analise!T8)=0,HOUR(2_Analise!T8)&amp;"h",HOUR(2_Analise!T8)&amp;"h"&amp;TEXT(MINUTE(2_Analise!T8),"00"))&amp;" redistribuídas para compensação em outros dias.",IF(2_Analise!S8&gt;0,"EXTRA "&amp;IF(MINUTE(2_Analise!S8)=0,HOUR(2_Analise!S8)&amp;"h",HOUR(2_Analise!S8)&amp;"h"&amp;TEXT(MINUTE(2_Analise!S8),"00")),IF(2_Analise!F8="PREVISTO","Dia previsto: expediente normal, sem extras.","NORMAL: horário cumprido.")))))))))))</f>
        <v>FOLGA</v>
      </c>
    </row>
    <row r="12" customFormat="false" ht="31.5" hidden="false" customHeight="true" outlineLevel="0" collapsed="false">
      <c r="A12" s="16" t="n">
        <f aca="false">2_Analise!A9</f>
        <v>46328</v>
      </c>
      <c r="B12" s="17" t="str">
        <f aca="false">2_Analise!B9</f>
        <v>Segunda-feira</v>
      </c>
      <c r="C12" s="28" t="str">
        <f aca="false">IF(OR(2_Analise!F9="TRABALHO",2_Analise!F9="PREVISTO"),IF(2_Analise!R9&gt;0,2_Analise!L9,2_Analise!G9),"")</f>
        <v/>
      </c>
      <c r="D12" s="28" t="str">
        <f aca="false">IF(C12="","",IF(F12&gt;2_Analise!H9,2_Analise!H9,""))</f>
        <v/>
      </c>
      <c r="E12" s="28" t="str">
        <f aca="false">IF(D12="","",2_Analise!I9)</f>
        <v/>
      </c>
      <c r="F12" s="28" t="str">
        <f aca="false">IF(C12="","",IF(2_Analise!R9&gt;0,2_Analise!N9,2_Analise!J9))</f>
        <v/>
      </c>
      <c r="G12" s="28" t="str">
        <f aca="false">IF(N(2_Analise!Y9)&gt;0,2_Analise!J9,"")</f>
        <v/>
      </c>
      <c r="H12" s="28" t="str">
        <f aca="false">IF(G12="","",ROUND((2_Analise!J9+2_Analise!Y9)*1440,0)/1440)</f>
        <v/>
      </c>
      <c r="I12" s="33" t="str">
        <f aca="false">IF(C12="","",ROUND((IF(H12&lt;&gt;"",H12,F12)-C12-IF(D12&lt;&gt;"",E12-D12,0))*1440,0)/1440)</f>
        <v/>
      </c>
      <c r="J12" s="33" t="str">
        <f aca="false">IF(N(2_Analise!Y9)&gt;0,2_Analise!Y9,"")</f>
        <v/>
      </c>
      <c r="K12" s="17" t="str">
        <f aca="false">IF(2_Analise!F9="","",IF(2_Analise!F9="FOLGA","FOLGA",IF(2_Analise!F9="FERIADO","FERIADO",IF(2_Analise!F9="FALTA","FALTA",IF(2_Analise!X9&gt;0,IF(2_Analise!S9&gt;0,"EXTRA + COMPENSAÇÃO","COMPENSAÇÃO"),IF(2_Analise!S9&gt;0,"EXTRA",IF(2_Analise!T9&gt;0,"EXTRA A COMPENSAR",IF(2_Analise!R9&gt;0,"DESCONTO PROVÁVEL",IF(2_Analise!F9="PREVISTO","PREVISTO","NORMAL")))))))))</f>
        <v>FERIADO</v>
      </c>
      <c r="L12" s="34"/>
      <c r="M12" s="34"/>
      <c r="N12" s="31" t="str">
        <f aca="false">IF(2_Analise!F9="","",IF(2_Analise!F9="FOLGA","FOLGA",IF(2_Analise!F9="FERIADO","FERIADO"&amp;IFERROR(" – "&amp;INDEX(Parametros!$B$35:$B$50,MATCH(A12,Parametros!$A$35:$A$50,0)),""),IF(2_Analise!F9="FALTA","FALTA: desconto de "&amp;IF(MINUTE(2_Analise!R9)=0,HOUR(2_Analise!R9)&amp;"h",HOUR(2_Analise!R9)&amp;"h"&amp;TEXT(MINUTE(2_Analise!R9),"00"))&amp;" (horário exigido não cumprido).",IF(2_Analise!P9&lt;&gt;"","CONFERIR: "&amp;2_Analise!P9&amp;". Complete a aba 1.",IF(2_Analise!R9&gt;0,"DESCONTO PROVÁVEL de "&amp;IF(MINUTE(2_Analise!R9)=0,HOUR(2_Analise!R9)&amp;"h",HOUR(2_Analise!R9)&amp;"h"&amp;TEXT(MINUTE(2_Analise!R9),"00"))&amp;": exigido "&amp;IF(MINUTE(2_Analise!K9)=0,HOUR(2_Analise!K9)&amp;"h",HOUR(2_Analise!K9)&amp;"h"&amp;TEXT(MINUTE(2_Analise!K9),"00"))&amp;", cumprido "&amp;IF(MINUTE(2_Analise!O9)=0,HOUR(2_Analise!O9)&amp;"h",HOUR(2_Analise!O9)&amp;"h"&amp;TEXT(MINUTE(2_Analise!O9),"00"))&amp;".",IF(2_Analise!X9&gt;0,IF(2_Analise!S9&gt;0,"EXTRA "&amp;IF(MINUTE(2_Analise!S9)=0,HOUR(2_Analise!S9)&amp;"h",HOUR(2_Analise!S9)&amp;"h"&amp;TEXT(MINUTE(2_Analise!S9),"00"))&amp;" e COMPENSAÇÃO DE "&amp;IF(MINUTE(2_Analise!X9)=0,HOUR(2_Analise!X9)&amp;"h",HOUR(2_Analise!X9)&amp;"h"&amp;TEXT(MINUTE(2_Analise!X9),"00"))&amp;" (horas excedentes de outros dias).","COMPENSAÇÃO DE "&amp;IF(MINUTE(2_Analise!X9)=0,HOUR(2_Analise!X9)&amp;"h",HOUR(2_Analise!X9)&amp;"h"&amp;TEXT(MINUTE(2_Analise!X9),"00"))&amp;": horas extras excedentes de outros dias, lançadas neste dia para respeitar o limite diário."),IF(AND(2_Analise!S9&gt;0,2_Analise!T9&gt;0),TEXT(A12,"dd/mm")&amp;": extras de "&amp;IF(MINUTE(2_Analise!Q9)=0,HOUR(2_Analise!Q9)&amp;"h",HOUR(2_Analise!Q9)&amp;"h"&amp;TEXT(MINUTE(2_Analise!Q9),"00"))&amp;". Lançadas "&amp;IF(MINUTE(2_Analise!S9)=0,HOUR(2_Analise!S9)&amp;"h",HOUR(2_Analise!S9)&amp;"h"&amp;TEXT(MINUTE(2_Analise!S9),"00"))&amp;" no dia (limite de "&amp;IF(MINUTE(Parametros!$B$19)=0,HOUR(Parametros!$B$19)&amp;"h",HOUR(Parametros!$B$19)&amp;"h"&amp;TEXT(MINUTE(Parametros!$B$19),"00"))&amp;") e "&amp;IF(MINUTE(2_Analise!T9)=0,HOUR(2_Analise!T9)&amp;"h",HOUR(2_Analise!T9)&amp;"h"&amp;TEXT(MINUTE(2_Analise!T9),"00"))&amp;" a compensar em outros dias.",IF(2_Analise!T9&gt;0,TEXT(A12,"dd/mm")&amp;": funcionária permaneceu em atividade até "&amp;IF(MINUTE(2_Analise!N9)=0,HOUR(2_Analise!N9)&amp;"h",HOUR(2_Analise!N9)&amp;"h"&amp;TEXT(MINUTE(2_Analise!N9),"00"))&amp;" por necessidade do serviço"&amp;IF(2_Analise!D9&lt;&gt;"",". Diretoria liberou os demais colaboradores às "&amp;IF(MINUTE(2_Analise!D9)=0,HOUR(2_Analise!D9)&amp;"h",HOUR(2_Analise!D9)&amp;"h"&amp;TEXT(MINUTE(2_Analise!D9),"00")),"")&amp;". Extras: "&amp;IF(MINUTE(2_Analise!T9)=0,HOUR(2_Analise!T9)&amp;"h",HOUR(2_Analise!T9)&amp;"h"&amp;TEXT(MINUTE(2_Analise!T9),"00"))&amp;" redistribuídas para compensação em outros dias.",IF(2_Analise!S9&gt;0,"EXTRA "&amp;IF(MINUTE(2_Analise!S9)=0,HOUR(2_Analise!S9)&amp;"h",HOUR(2_Analise!S9)&amp;"h"&amp;TEXT(MINUTE(2_Analise!S9),"00")),IF(2_Analise!F9="PREVISTO","Dia previsto: expediente normal, sem extras.","NORMAL: horário cumprido.")))))))))))</f>
        <v>FERIADO – Finados</v>
      </c>
    </row>
    <row r="13" customFormat="false" ht="31.5" hidden="false" customHeight="true" outlineLevel="0" collapsed="false">
      <c r="A13" s="16" t="n">
        <f aca="false">2_Analise!A10</f>
        <v>46329</v>
      </c>
      <c r="B13" s="17" t="str">
        <f aca="false">2_Analise!B10</f>
        <v>Terça-feira</v>
      </c>
      <c r="C13" s="28" t="n">
        <f aca="false">IF(OR(2_Analise!F10="TRABALHO",2_Analise!F10="PREVISTO"),IF(2_Analise!R10&gt;0,2_Analise!L10,2_Analise!G10),"")</f>
        <v>0.333333333333333</v>
      </c>
      <c r="D13" s="28" t="n">
        <f aca="false">IF(C13="","",IF(F13&gt;2_Analise!H10,2_Analise!H10,""))</f>
        <v>0.5</v>
      </c>
      <c r="E13" s="28" t="n">
        <f aca="false">IF(D13="","",2_Analise!I10)</f>
        <v>0.541666666666667</v>
      </c>
      <c r="F13" s="28" t="n">
        <f aca="false">IF(C13="","",IF(2_Analise!R10&gt;0,2_Analise!N10,2_Analise!J10))</f>
        <v>0.708333333333333</v>
      </c>
      <c r="G13" s="28" t="str">
        <f aca="false">IF(N(2_Analise!Y10)&gt;0,2_Analise!J10,"")</f>
        <v/>
      </c>
      <c r="H13" s="28" t="str">
        <f aca="false">IF(G13="","",ROUND((2_Analise!J10+2_Analise!Y10)*1440,0)/1440)</f>
        <v/>
      </c>
      <c r="I13" s="33" t="n">
        <f aca="false">IF(C13="","",ROUND((IF(H13&lt;&gt;"",H13,F13)-C13-IF(D13&lt;&gt;"",E13-D13,0))*1440,0)/1440)</f>
        <v>0.333333333333333</v>
      </c>
      <c r="J13" s="33" t="str">
        <f aca="false">IF(N(2_Analise!Y10)&gt;0,2_Analise!Y10,"")</f>
        <v/>
      </c>
      <c r="K13" s="17" t="str">
        <f aca="false">IF(2_Analise!F10="","",IF(2_Analise!F10="FOLGA","FOLGA",IF(2_Analise!F10="FERIADO","FERIADO",IF(2_Analise!F10="FALTA","FALTA",IF(2_Analise!X10&gt;0,IF(2_Analise!S10&gt;0,"EXTRA + COMPENSAÇÃO","COMPENSAÇÃO"),IF(2_Analise!S10&gt;0,"EXTRA",IF(2_Analise!T10&gt;0,"EXTRA A COMPENSAR",IF(2_Analise!R10&gt;0,"DESCONTO PROVÁVEL",IF(2_Analise!F10="PREVISTO","PREVISTO","NORMAL")))))))))</f>
        <v>PREVISTO</v>
      </c>
      <c r="L13" s="34"/>
      <c r="M13" s="34"/>
      <c r="N13" s="31" t="str">
        <f aca="false">IF(2_Analise!F10="","",IF(2_Analise!F10="FOLGA","FOLGA",IF(2_Analise!F10="FERIADO","FERIADO"&amp;IFERROR(" – "&amp;INDEX(Parametros!$B$35:$B$50,MATCH(A13,Parametros!$A$35:$A$50,0)),""),IF(2_Analise!F10="FALTA","FALTA: desconto de "&amp;IF(MINUTE(2_Analise!R10)=0,HOUR(2_Analise!R10)&amp;"h",HOUR(2_Analise!R10)&amp;"h"&amp;TEXT(MINUTE(2_Analise!R10),"00"))&amp;" (horário exigido não cumprido).",IF(2_Analise!P10&lt;&gt;"","CONFERIR: "&amp;2_Analise!P10&amp;". Complete a aba 1.",IF(2_Analise!R10&gt;0,"DESCONTO PROVÁVEL de "&amp;IF(MINUTE(2_Analise!R10)=0,HOUR(2_Analise!R10)&amp;"h",HOUR(2_Analise!R10)&amp;"h"&amp;TEXT(MINUTE(2_Analise!R10),"00"))&amp;": exigido "&amp;IF(MINUTE(2_Analise!K10)=0,HOUR(2_Analise!K10)&amp;"h",HOUR(2_Analise!K10)&amp;"h"&amp;TEXT(MINUTE(2_Analise!K10),"00"))&amp;", cumprido "&amp;IF(MINUTE(2_Analise!O10)=0,HOUR(2_Analise!O10)&amp;"h",HOUR(2_Analise!O10)&amp;"h"&amp;TEXT(MINUTE(2_Analise!O10),"00"))&amp;".",IF(2_Analise!X10&gt;0,IF(2_Analise!S10&gt;0,"EXTRA "&amp;IF(MINUTE(2_Analise!S10)=0,HOUR(2_Analise!S10)&amp;"h",HOUR(2_Analise!S10)&amp;"h"&amp;TEXT(MINUTE(2_Analise!S10),"00"))&amp;" e COMPENSAÇÃO DE "&amp;IF(MINUTE(2_Analise!X10)=0,HOUR(2_Analise!X10)&amp;"h",HOUR(2_Analise!X10)&amp;"h"&amp;TEXT(MINUTE(2_Analise!X10),"00"))&amp;" (horas excedentes de outros dias).","COMPENSAÇÃO DE "&amp;IF(MINUTE(2_Analise!X10)=0,HOUR(2_Analise!X10)&amp;"h",HOUR(2_Analise!X10)&amp;"h"&amp;TEXT(MINUTE(2_Analise!X10),"00"))&amp;": horas extras excedentes de outros dias, lançadas neste dia para respeitar o limite diário."),IF(AND(2_Analise!S10&gt;0,2_Analise!T10&gt;0),TEXT(A13,"dd/mm")&amp;": extras de "&amp;IF(MINUTE(2_Analise!Q10)=0,HOUR(2_Analise!Q10)&amp;"h",HOUR(2_Analise!Q10)&amp;"h"&amp;TEXT(MINUTE(2_Analise!Q10),"00"))&amp;". Lançadas "&amp;IF(MINUTE(2_Analise!S10)=0,HOUR(2_Analise!S10)&amp;"h",HOUR(2_Analise!S10)&amp;"h"&amp;TEXT(MINUTE(2_Analise!S10),"00"))&amp;" no dia (limite de "&amp;IF(MINUTE(Parametros!$B$19)=0,HOUR(Parametros!$B$19)&amp;"h",HOUR(Parametros!$B$19)&amp;"h"&amp;TEXT(MINUTE(Parametros!$B$19),"00"))&amp;") e "&amp;IF(MINUTE(2_Analise!T10)=0,HOUR(2_Analise!T10)&amp;"h",HOUR(2_Analise!T10)&amp;"h"&amp;TEXT(MINUTE(2_Analise!T10),"00"))&amp;" a compensar em outros dias.",IF(2_Analise!T10&gt;0,TEXT(A13,"dd/mm")&amp;": funcionária permaneceu em atividade até "&amp;IF(MINUTE(2_Analise!N10)=0,HOUR(2_Analise!N10)&amp;"h",HOUR(2_Analise!N10)&amp;"h"&amp;TEXT(MINUTE(2_Analise!N10),"00"))&amp;" por necessidade do serviço"&amp;IF(2_Analise!D10&lt;&gt;"",". Diretoria liberou os demais colaboradores às "&amp;IF(MINUTE(2_Analise!D10)=0,HOUR(2_Analise!D10)&amp;"h",HOUR(2_Analise!D10)&amp;"h"&amp;TEXT(MINUTE(2_Analise!D10),"00")),"")&amp;". Extras: "&amp;IF(MINUTE(2_Analise!T10)=0,HOUR(2_Analise!T10)&amp;"h",HOUR(2_Analise!T10)&amp;"h"&amp;TEXT(MINUTE(2_Analise!T10),"00"))&amp;" redistribuídas para compensação em outros dias.",IF(2_Analise!S10&gt;0,"EXTRA "&amp;IF(MINUTE(2_Analise!S10)=0,HOUR(2_Analise!S10)&amp;"h",HOUR(2_Analise!S10)&amp;"h"&amp;TEXT(MINUTE(2_Analise!S10),"00")),IF(2_Analise!F10="PREVISTO","Dia previsto: expediente normal, sem extras.","NORMAL: horário cumprido.")))))))))))</f>
        <v>Dia previsto: expediente normal, sem extras.</v>
      </c>
    </row>
    <row r="14" customFormat="false" ht="31.5" hidden="false" customHeight="true" outlineLevel="0" collapsed="false">
      <c r="A14" s="16" t="n">
        <f aca="false">2_Analise!A11</f>
        <v>46330</v>
      </c>
      <c r="B14" s="17" t="str">
        <f aca="false">2_Analise!B11</f>
        <v>Quarta-feira</v>
      </c>
      <c r="C14" s="28" t="n">
        <f aca="false">IF(OR(2_Analise!F11="TRABALHO",2_Analise!F11="PREVISTO"),IF(2_Analise!R11&gt;0,2_Analise!L11,2_Analise!G11),"")</f>
        <v>0.333333333333333</v>
      </c>
      <c r="D14" s="28" t="n">
        <f aca="false">IF(C14="","",IF(F14&gt;2_Analise!H11,2_Analise!H11,""))</f>
        <v>0.5</v>
      </c>
      <c r="E14" s="28" t="n">
        <f aca="false">IF(D14="","",2_Analise!I11)</f>
        <v>0.541666666666667</v>
      </c>
      <c r="F14" s="28" t="n">
        <f aca="false">IF(C14="","",IF(2_Analise!R11&gt;0,2_Analise!N11,2_Analise!J11))</f>
        <v>0.708333333333333</v>
      </c>
      <c r="G14" s="28" t="str">
        <f aca="false">IF(N(2_Analise!Y11)&gt;0,2_Analise!J11,"")</f>
        <v/>
      </c>
      <c r="H14" s="28" t="str">
        <f aca="false">IF(G14="","",ROUND((2_Analise!J11+2_Analise!Y11)*1440,0)/1440)</f>
        <v/>
      </c>
      <c r="I14" s="33" t="n">
        <f aca="false">IF(C14="","",ROUND((IF(H14&lt;&gt;"",H14,F14)-C14-IF(D14&lt;&gt;"",E14-D14,0))*1440,0)/1440)</f>
        <v>0.333333333333333</v>
      </c>
      <c r="J14" s="33" t="str">
        <f aca="false">IF(N(2_Analise!Y11)&gt;0,2_Analise!Y11,"")</f>
        <v/>
      </c>
      <c r="K14" s="17" t="str">
        <f aca="false">IF(2_Analise!F11="","",IF(2_Analise!F11="FOLGA","FOLGA",IF(2_Analise!F11="FERIADO","FERIADO",IF(2_Analise!F11="FALTA","FALTA",IF(2_Analise!X11&gt;0,IF(2_Analise!S11&gt;0,"EXTRA + COMPENSAÇÃO","COMPENSAÇÃO"),IF(2_Analise!S11&gt;0,"EXTRA",IF(2_Analise!T11&gt;0,"EXTRA A COMPENSAR",IF(2_Analise!R11&gt;0,"DESCONTO PROVÁVEL",IF(2_Analise!F11="PREVISTO","PREVISTO","NORMAL")))))))))</f>
        <v>PREVISTO</v>
      </c>
      <c r="L14" s="34"/>
      <c r="M14" s="34"/>
      <c r="N14" s="31" t="str">
        <f aca="false">IF(2_Analise!F11="","",IF(2_Analise!F11="FOLGA","FOLGA",IF(2_Analise!F11="FERIADO","FERIADO"&amp;IFERROR(" – "&amp;INDEX(Parametros!$B$35:$B$50,MATCH(A14,Parametros!$A$35:$A$50,0)),""),IF(2_Analise!F11="FALTA","FALTA: desconto de "&amp;IF(MINUTE(2_Analise!R11)=0,HOUR(2_Analise!R11)&amp;"h",HOUR(2_Analise!R11)&amp;"h"&amp;TEXT(MINUTE(2_Analise!R11),"00"))&amp;" (horário exigido não cumprido).",IF(2_Analise!P11&lt;&gt;"","CONFERIR: "&amp;2_Analise!P11&amp;". Complete a aba 1.",IF(2_Analise!R11&gt;0,"DESCONTO PROVÁVEL de "&amp;IF(MINUTE(2_Analise!R11)=0,HOUR(2_Analise!R11)&amp;"h",HOUR(2_Analise!R11)&amp;"h"&amp;TEXT(MINUTE(2_Analise!R11),"00"))&amp;": exigido "&amp;IF(MINUTE(2_Analise!K11)=0,HOUR(2_Analise!K11)&amp;"h",HOUR(2_Analise!K11)&amp;"h"&amp;TEXT(MINUTE(2_Analise!K11),"00"))&amp;", cumprido "&amp;IF(MINUTE(2_Analise!O11)=0,HOUR(2_Analise!O11)&amp;"h",HOUR(2_Analise!O11)&amp;"h"&amp;TEXT(MINUTE(2_Analise!O11),"00"))&amp;".",IF(2_Analise!X11&gt;0,IF(2_Analise!S11&gt;0,"EXTRA "&amp;IF(MINUTE(2_Analise!S11)=0,HOUR(2_Analise!S11)&amp;"h",HOUR(2_Analise!S11)&amp;"h"&amp;TEXT(MINUTE(2_Analise!S11),"00"))&amp;" e COMPENSAÇÃO DE "&amp;IF(MINUTE(2_Analise!X11)=0,HOUR(2_Analise!X11)&amp;"h",HOUR(2_Analise!X11)&amp;"h"&amp;TEXT(MINUTE(2_Analise!X11),"00"))&amp;" (horas excedentes de outros dias).","COMPENSAÇÃO DE "&amp;IF(MINUTE(2_Analise!X11)=0,HOUR(2_Analise!X11)&amp;"h",HOUR(2_Analise!X11)&amp;"h"&amp;TEXT(MINUTE(2_Analise!X11),"00"))&amp;": horas extras excedentes de outros dias, lançadas neste dia para respeitar o limite diário."),IF(AND(2_Analise!S11&gt;0,2_Analise!T11&gt;0),TEXT(A14,"dd/mm")&amp;": extras de "&amp;IF(MINUTE(2_Analise!Q11)=0,HOUR(2_Analise!Q11)&amp;"h",HOUR(2_Analise!Q11)&amp;"h"&amp;TEXT(MINUTE(2_Analise!Q11),"00"))&amp;". Lançadas "&amp;IF(MINUTE(2_Analise!S11)=0,HOUR(2_Analise!S11)&amp;"h",HOUR(2_Analise!S11)&amp;"h"&amp;TEXT(MINUTE(2_Analise!S11),"00"))&amp;" no dia (limite de "&amp;IF(MINUTE(Parametros!$B$19)=0,HOUR(Parametros!$B$19)&amp;"h",HOUR(Parametros!$B$19)&amp;"h"&amp;TEXT(MINUTE(Parametros!$B$19),"00"))&amp;") e "&amp;IF(MINUTE(2_Analise!T11)=0,HOUR(2_Analise!T11)&amp;"h",HOUR(2_Analise!T11)&amp;"h"&amp;TEXT(MINUTE(2_Analise!T11),"00"))&amp;" a compensar em outros dias.",IF(2_Analise!T11&gt;0,TEXT(A14,"dd/mm")&amp;": funcionária permaneceu em atividade até "&amp;IF(MINUTE(2_Analise!N11)=0,HOUR(2_Analise!N11)&amp;"h",HOUR(2_Analise!N11)&amp;"h"&amp;TEXT(MINUTE(2_Analise!N11),"00"))&amp;" por necessidade do serviço"&amp;IF(2_Analise!D11&lt;&gt;"",". Diretoria liberou os demais colaboradores às "&amp;IF(MINUTE(2_Analise!D11)=0,HOUR(2_Analise!D11)&amp;"h",HOUR(2_Analise!D11)&amp;"h"&amp;TEXT(MINUTE(2_Analise!D11),"00")),"")&amp;". Extras: "&amp;IF(MINUTE(2_Analise!T11)=0,HOUR(2_Analise!T11)&amp;"h",HOUR(2_Analise!T11)&amp;"h"&amp;TEXT(MINUTE(2_Analise!T11),"00"))&amp;" redistribuídas para compensação em outros dias.",IF(2_Analise!S11&gt;0,"EXTRA "&amp;IF(MINUTE(2_Analise!S11)=0,HOUR(2_Analise!S11)&amp;"h",HOUR(2_Analise!S11)&amp;"h"&amp;TEXT(MINUTE(2_Analise!S11),"00")),IF(2_Analise!F11="PREVISTO","Dia previsto: expediente normal, sem extras.","NORMAL: horário cumprido.")))))))))))</f>
        <v>Dia previsto: expediente normal, sem extras.</v>
      </c>
    </row>
    <row r="15" customFormat="false" ht="31.5" hidden="false" customHeight="true" outlineLevel="0" collapsed="false">
      <c r="A15" s="16" t="n">
        <f aca="false">2_Analise!A12</f>
        <v>46331</v>
      </c>
      <c r="B15" s="17" t="str">
        <f aca="false">2_Analise!B12</f>
        <v>Quinta-feira</v>
      </c>
      <c r="C15" s="28" t="n">
        <f aca="false">IF(OR(2_Analise!F12="TRABALHO",2_Analise!F12="PREVISTO"),IF(2_Analise!R12&gt;0,2_Analise!L12,2_Analise!G12),"")</f>
        <v>0.333333333333333</v>
      </c>
      <c r="D15" s="28" t="n">
        <f aca="false">IF(C15="","",IF(F15&gt;2_Analise!H12,2_Analise!H12,""))</f>
        <v>0.5</v>
      </c>
      <c r="E15" s="28" t="n">
        <f aca="false">IF(D15="","",2_Analise!I12)</f>
        <v>0.541666666666667</v>
      </c>
      <c r="F15" s="28" t="n">
        <f aca="false">IF(C15="","",IF(2_Analise!R12&gt;0,2_Analise!N12,2_Analise!J12))</f>
        <v>0.708333333333333</v>
      </c>
      <c r="G15" s="28" t="str">
        <f aca="false">IF(N(2_Analise!Y12)&gt;0,2_Analise!J12,"")</f>
        <v/>
      </c>
      <c r="H15" s="28" t="str">
        <f aca="false">IF(G15="","",ROUND((2_Analise!J12+2_Analise!Y12)*1440,0)/1440)</f>
        <v/>
      </c>
      <c r="I15" s="33" t="n">
        <f aca="false">IF(C15="","",ROUND((IF(H15&lt;&gt;"",H15,F15)-C15-IF(D15&lt;&gt;"",E15-D15,0))*1440,0)/1440)</f>
        <v>0.333333333333333</v>
      </c>
      <c r="J15" s="33" t="str">
        <f aca="false">IF(N(2_Analise!Y12)&gt;0,2_Analise!Y12,"")</f>
        <v/>
      </c>
      <c r="K15" s="17" t="str">
        <f aca="false">IF(2_Analise!F12="","",IF(2_Analise!F12="FOLGA","FOLGA",IF(2_Analise!F12="FERIADO","FERIADO",IF(2_Analise!F12="FALTA","FALTA",IF(2_Analise!X12&gt;0,IF(2_Analise!S12&gt;0,"EXTRA + COMPENSAÇÃO","COMPENSAÇÃO"),IF(2_Analise!S12&gt;0,"EXTRA",IF(2_Analise!T12&gt;0,"EXTRA A COMPENSAR",IF(2_Analise!R12&gt;0,"DESCONTO PROVÁVEL",IF(2_Analise!F12="PREVISTO","PREVISTO","NORMAL")))))))))</f>
        <v>PREVISTO</v>
      </c>
      <c r="L15" s="34"/>
      <c r="M15" s="34"/>
      <c r="N15" s="31" t="str">
        <f aca="false">IF(2_Analise!F12="","",IF(2_Analise!F12="FOLGA","FOLGA",IF(2_Analise!F12="FERIADO","FERIADO"&amp;IFERROR(" – "&amp;INDEX(Parametros!$B$35:$B$50,MATCH(A15,Parametros!$A$35:$A$50,0)),""),IF(2_Analise!F12="FALTA","FALTA: desconto de "&amp;IF(MINUTE(2_Analise!R12)=0,HOUR(2_Analise!R12)&amp;"h",HOUR(2_Analise!R12)&amp;"h"&amp;TEXT(MINUTE(2_Analise!R12),"00"))&amp;" (horário exigido não cumprido).",IF(2_Analise!P12&lt;&gt;"","CONFERIR: "&amp;2_Analise!P12&amp;". Complete a aba 1.",IF(2_Analise!R12&gt;0,"DESCONTO PROVÁVEL de "&amp;IF(MINUTE(2_Analise!R12)=0,HOUR(2_Analise!R12)&amp;"h",HOUR(2_Analise!R12)&amp;"h"&amp;TEXT(MINUTE(2_Analise!R12),"00"))&amp;": exigido "&amp;IF(MINUTE(2_Analise!K12)=0,HOUR(2_Analise!K12)&amp;"h",HOUR(2_Analise!K12)&amp;"h"&amp;TEXT(MINUTE(2_Analise!K12),"00"))&amp;", cumprido "&amp;IF(MINUTE(2_Analise!O12)=0,HOUR(2_Analise!O12)&amp;"h",HOUR(2_Analise!O12)&amp;"h"&amp;TEXT(MINUTE(2_Analise!O12),"00"))&amp;".",IF(2_Analise!X12&gt;0,IF(2_Analise!S12&gt;0,"EXTRA "&amp;IF(MINUTE(2_Analise!S12)=0,HOUR(2_Analise!S12)&amp;"h",HOUR(2_Analise!S12)&amp;"h"&amp;TEXT(MINUTE(2_Analise!S12),"00"))&amp;" e COMPENSAÇÃO DE "&amp;IF(MINUTE(2_Analise!X12)=0,HOUR(2_Analise!X12)&amp;"h",HOUR(2_Analise!X12)&amp;"h"&amp;TEXT(MINUTE(2_Analise!X12),"00"))&amp;" (horas excedentes de outros dias).","COMPENSAÇÃO DE "&amp;IF(MINUTE(2_Analise!X12)=0,HOUR(2_Analise!X12)&amp;"h",HOUR(2_Analise!X12)&amp;"h"&amp;TEXT(MINUTE(2_Analise!X12),"00"))&amp;": horas extras excedentes de outros dias, lançadas neste dia para respeitar o limite diário."),IF(AND(2_Analise!S12&gt;0,2_Analise!T12&gt;0),TEXT(A15,"dd/mm")&amp;": extras de "&amp;IF(MINUTE(2_Analise!Q12)=0,HOUR(2_Analise!Q12)&amp;"h",HOUR(2_Analise!Q12)&amp;"h"&amp;TEXT(MINUTE(2_Analise!Q12),"00"))&amp;". Lançadas "&amp;IF(MINUTE(2_Analise!S12)=0,HOUR(2_Analise!S12)&amp;"h",HOUR(2_Analise!S12)&amp;"h"&amp;TEXT(MINUTE(2_Analise!S12),"00"))&amp;" no dia (limite de "&amp;IF(MINUTE(Parametros!$B$19)=0,HOUR(Parametros!$B$19)&amp;"h",HOUR(Parametros!$B$19)&amp;"h"&amp;TEXT(MINUTE(Parametros!$B$19),"00"))&amp;") e "&amp;IF(MINUTE(2_Analise!T12)=0,HOUR(2_Analise!T12)&amp;"h",HOUR(2_Analise!T12)&amp;"h"&amp;TEXT(MINUTE(2_Analise!T12),"00"))&amp;" a compensar em outros dias.",IF(2_Analise!T12&gt;0,TEXT(A15,"dd/mm")&amp;": funcionária permaneceu em atividade até "&amp;IF(MINUTE(2_Analise!N12)=0,HOUR(2_Analise!N12)&amp;"h",HOUR(2_Analise!N12)&amp;"h"&amp;TEXT(MINUTE(2_Analise!N12),"00"))&amp;" por necessidade do serviço"&amp;IF(2_Analise!D12&lt;&gt;"",". Diretoria liberou os demais colaboradores às "&amp;IF(MINUTE(2_Analise!D12)=0,HOUR(2_Analise!D12)&amp;"h",HOUR(2_Analise!D12)&amp;"h"&amp;TEXT(MINUTE(2_Analise!D12),"00")),"")&amp;". Extras: "&amp;IF(MINUTE(2_Analise!T12)=0,HOUR(2_Analise!T12)&amp;"h",HOUR(2_Analise!T12)&amp;"h"&amp;TEXT(MINUTE(2_Analise!T12),"00"))&amp;" redistribuídas para compensação em outros dias.",IF(2_Analise!S12&gt;0,"EXTRA "&amp;IF(MINUTE(2_Analise!S12)=0,HOUR(2_Analise!S12)&amp;"h",HOUR(2_Analise!S12)&amp;"h"&amp;TEXT(MINUTE(2_Analise!S12),"00")),IF(2_Analise!F12="PREVISTO","Dia previsto: expediente normal, sem extras.","NORMAL: horário cumprido.")))))))))))</f>
        <v>Dia previsto: expediente normal, sem extras.</v>
      </c>
    </row>
    <row r="16" customFormat="false" ht="31.5" hidden="false" customHeight="true" outlineLevel="0" collapsed="false">
      <c r="A16" s="16" t="n">
        <f aca="false">2_Analise!A13</f>
        <v>46332</v>
      </c>
      <c r="B16" s="17" t="str">
        <f aca="false">2_Analise!B13</f>
        <v>Sexta-feira</v>
      </c>
      <c r="C16" s="28" t="n">
        <f aca="false">IF(OR(2_Analise!F13="TRABALHO",2_Analise!F13="PREVISTO"),IF(2_Analise!R13&gt;0,2_Analise!L13,2_Analise!G13),"")</f>
        <v>0.333333333333333</v>
      </c>
      <c r="D16" s="28" t="n">
        <f aca="false">IF(C16="","",IF(F16&gt;2_Analise!H13,2_Analise!H13,""))</f>
        <v>0.5</v>
      </c>
      <c r="E16" s="28" t="n">
        <f aca="false">IF(D16="","",2_Analise!I13)</f>
        <v>0.541666666666667</v>
      </c>
      <c r="F16" s="28" t="n">
        <f aca="false">IF(C16="","",IF(2_Analise!R13&gt;0,2_Analise!N13,2_Analise!J13))</f>
        <v>0.708333333333333</v>
      </c>
      <c r="G16" s="28" t="str">
        <f aca="false">IF(N(2_Analise!Y13)&gt;0,2_Analise!J13,"")</f>
        <v/>
      </c>
      <c r="H16" s="28" t="str">
        <f aca="false">IF(G16="","",ROUND((2_Analise!J13+2_Analise!Y13)*1440,0)/1440)</f>
        <v/>
      </c>
      <c r="I16" s="33" t="n">
        <f aca="false">IF(C16="","",ROUND((IF(H16&lt;&gt;"",H16,F16)-C16-IF(D16&lt;&gt;"",E16-D16,0))*1440,0)/1440)</f>
        <v>0.333333333333333</v>
      </c>
      <c r="J16" s="33" t="str">
        <f aca="false">IF(N(2_Analise!Y13)&gt;0,2_Analise!Y13,"")</f>
        <v/>
      </c>
      <c r="K16" s="17" t="str">
        <f aca="false">IF(2_Analise!F13="","",IF(2_Analise!F13="FOLGA","FOLGA",IF(2_Analise!F13="FERIADO","FERIADO",IF(2_Analise!F13="FALTA","FALTA",IF(2_Analise!X13&gt;0,IF(2_Analise!S13&gt;0,"EXTRA + COMPENSAÇÃO","COMPENSAÇÃO"),IF(2_Analise!S13&gt;0,"EXTRA",IF(2_Analise!T13&gt;0,"EXTRA A COMPENSAR",IF(2_Analise!R13&gt;0,"DESCONTO PROVÁVEL",IF(2_Analise!F13="PREVISTO","PREVISTO","NORMAL")))))))))</f>
        <v>PREVISTO</v>
      </c>
      <c r="L16" s="34"/>
      <c r="M16" s="34"/>
      <c r="N16" s="31" t="str">
        <f aca="false">IF(2_Analise!F13="","",IF(2_Analise!F13="FOLGA","FOLGA",IF(2_Analise!F13="FERIADO","FERIADO"&amp;IFERROR(" – "&amp;INDEX(Parametros!$B$35:$B$50,MATCH(A16,Parametros!$A$35:$A$50,0)),""),IF(2_Analise!F13="FALTA","FALTA: desconto de "&amp;IF(MINUTE(2_Analise!R13)=0,HOUR(2_Analise!R13)&amp;"h",HOUR(2_Analise!R13)&amp;"h"&amp;TEXT(MINUTE(2_Analise!R13),"00"))&amp;" (horário exigido não cumprido).",IF(2_Analise!P13&lt;&gt;"","CONFERIR: "&amp;2_Analise!P13&amp;". Complete a aba 1.",IF(2_Analise!R13&gt;0,"DESCONTO PROVÁVEL de "&amp;IF(MINUTE(2_Analise!R13)=0,HOUR(2_Analise!R13)&amp;"h",HOUR(2_Analise!R13)&amp;"h"&amp;TEXT(MINUTE(2_Analise!R13),"00"))&amp;": exigido "&amp;IF(MINUTE(2_Analise!K13)=0,HOUR(2_Analise!K13)&amp;"h",HOUR(2_Analise!K13)&amp;"h"&amp;TEXT(MINUTE(2_Analise!K13),"00"))&amp;", cumprido "&amp;IF(MINUTE(2_Analise!O13)=0,HOUR(2_Analise!O13)&amp;"h",HOUR(2_Analise!O13)&amp;"h"&amp;TEXT(MINUTE(2_Analise!O13),"00"))&amp;".",IF(2_Analise!X13&gt;0,IF(2_Analise!S13&gt;0,"EXTRA "&amp;IF(MINUTE(2_Analise!S13)=0,HOUR(2_Analise!S13)&amp;"h",HOUR(2_Analise!S13)&amp;"h"&amp;TEXT(MINUTE(2_Analise!S13),"00"))&amp;" e COMPENSAÇÃO DE "&amp;IF(MINUTE(2_Analise!X13)=0,HOUR(2_Analise!X13)&amp;"h",HOUR(2_Analise!X13)&amp;"h"&amp;TEXT(MINUTE(2_Analise!X13),"00"))&amp;" (horas excedentes de outros dias).","COMPENSAÇÃO DE "&amp;IF(MINUTE(2_Analise!X13)=0,HOUR(2_Analise!X13)&amp;"h",HOUR(2_Analise!X13)&amp;"h"&amp;TEXT(MINUTE(2_Analise!X13),"00"))&amp;": horas extras excedentes de outros dias, lançadas neste dia para respeitar o limite diário."),IF(AND(2_Analise!S13&gt;0,2_Analise!T13&gt;0),TEXT(A16,"dd/mm")&amp;": extras de "&amp;IF(MINUTE(2_Analise!Q13)=0,HOUR(2_Analise!Q13)&amp;"h",HOUR(2_Analise!Q13)&amp;"h"&amp;TEXT(MINUTE(2_Analise!Q13),"00"))&amp;". Lançadas "&amp;IF(MINUTE(2_Analise!S13)=0,HOUR(2_Analise!S13)&amp;"h",HOUR(2_Analise!S13)&amp;"h"&amp;TEXT(MINUTE(2_Analise!S13),"00"))&amp;" no dia (limite de "&amp;IF(MINUTE(Parametros!$B$19)=0,HOUR(Parametros!$B$19)&amp;"h",HOUR(Parametros!$B$19)&amp;"h"&amp;TEXT(MINUTE(Parametros!$B$19),"00"))&amp;") e "&amp;IF(MINUTE(2_Analise!T13)=0,HOUR(2_Analise!T13)&amp;"h",HOUR(2_Analise!T13)&amp;"h"&amp;TEXT(MINUTE(2_Analise!T13),"00"))&amp;" a compensar em outros dias.",IF(2_Analise!T13&gt;0,TEXT(A16,"dd/mm")&amp;": funcionária permaneceu em atividade até "&amp;IF(MINUTE(2_Analise!N13)=0,HOUR(2_Analise!N13)&amp;"h",HOUR(2_Analise!N13)&amp;"h"&amp;TEXT(MINUTE(2_Analise!N13),"00"))&amp;" por necessidade do serviço"&amp;IF(2_Analise!D13&lt;&gt;"",". Diretoria liberou os demais colaboradores às "&amp;IF(MINUTE(2_Analise!D13)=0,HOUR(2_Analise!D13)&amp;"h",HOUR(2_Analise!D13)&amp;"h"&amp;TEXT(MINUTE(2_Analise!D13),"00")),"")&amp;". Extras: "&amp;IF(MINUTE(2_Analise!T13)=0,HOUR(2_Analise!T13)&amp;"h",HOUR(2_Analise!T13)&amp;"h"&amp;TEXT(MINUTE(2_Analise!T13),"00"))&amp;" redistribuídas para compensação em outros dias.",IF(2_Analise!S13&gt;0,"EXTRA "&amp;IF(MINUTE(2_Analise!S13)=0,HOUR(2_Analise!S13)&amp;"h",HOUR(2_Analise!S13)&amp;"h"&amp;TEXT(MINUTE(2_Analise!S13),"00")),IF(2_Analise!F13="PREVISTO","Dia previsto: expediente normal, sem extras.","NORMAL: horário cumprido.")))))))))))</f>
        <v>Dia previsto: expediente normal, sem extras.</v>
      </c>
    </row>
    <row r="17" customFormat="false" ht="31.5" hidden="false" customHeight="true" outlineLevel="0" collapsed="false">
      <c r="A17" s="16" t="n">
        <f aca="false">2_Analise!A14</f>
        <v>46333</v>
      </c>
      <c r="B17" s="17" t="str">
        <f aca="false">2_Analise!B14</f>
        <v>Sábado</v>
      </c>
      <c r="C17" s="28" t="str">
        <f aca="false">IF(OR(2_Analise!F14="TRABALHO",2_Analise!F14="PREVISTO"),IF(2_Analise!R14&gt;0,2_Analise!L14,2_Analise!G14),"")</f>
        <v/>
      </c>
      <c r="D17" s="28" t="str">
        <f aca="false">IF(C17="","",IF(F17&gt;2_Analise!H14,2_Analise!H14,""))</f>
        <v/>
      </c>
      <c r="E17" s="28" t="str">
        <f aca="false">IF(D17="","",2_Analise!I14)</f>
        <v/>
      </c>
      <c r="F17" s="28" t="str">
        <f aca="false">IF(C17="","",IF(2_Analise!R14&gt;0,2_Analise!N14,2_Analise!J14))</f>
        <v/>
      </c>
      <c r="G17" s="28" t="str">
        <f aca="false">IF(N(2_Analise!Y14)&gt;0,2_Analise!J14,"")</f>
        <v/>
      </c>
      <c r="H17" s="28" t="str">
        <f aca="false">IF(G17="","",ROUND((2_Analise!J14+2_Analise!Y14)*1440,0)/1440)</f>
        <v/>
      </c>
      <c r="I17" s="33" t="str">
        <f aca="false">IF(C17="","",ROUND((IF(H17&lt;&gt;"",H17,F17)-C17-IF(D17&lt;&gt;"",E17-D17,0))*1440,0)/1440)</f>
        <v/>
      </c>
      <c r="J17" s="33" t="str">
        <f aca="false">IF(N(2_Analise!Y14)&gt;0,2_Analise!Y14,"")</f>
        <v/>
      </c>
      <c r="K17" s="17" t="str">
        <f aca="false">IF(2_Analise!F14="","",IF(2_Analise!F14="FOLGA","FOLGA",IF(2_Analise!F14="FERIADO","FERIADO",IF(2_Analise!F14="FALTA","FALTA",IF(2_Analise!X14&gt;0,IF(2_Analise!S14&gt;0,"EXTRA + COMPENSAÇÃO","COMPENSAÇÃO"),IF(2_Analise!S14&gt;0,"EXTRA",IF(2_Analise!T14&gt;0,"EXTRA A COMPENSAR",IF(2_Analise!R14&gt;0,"DESCONTO PROVÁVEL",IF(2_Analise!F14="PREVISTO","PREVISTO","NORMAL")))))))))</f>
        <v>FOLGA</v>
      </c>
      <c r="L17" s="34"/>
      <c r="M17" s="34"/>
      <c r="N17" s="31" t="str">
        <f aca="false">IF(2_Analise!F14="","",IF(2_Analise!F14="FOLGA","FOLGA",IF(2_Analise!F14="FERIADO","FERIADO"&amp;IFERROR(" – "&amp;INDEX(Parametros!$B$35:$B$50,MATCH(A17,Parametros!$A$35:$A$50,0)),""),IF(2_Analise!F14="FALTA","FALTA: desconto de "&amp;IF(MINUTE(2_Analise!R14)=0,HOUR(2_Analise!R14)&amp;"h",HOUR(2_Analise!R14)&amp;"h"&amp;TEXT(MINUTE(2_Analise!R14),"00"))&amp;" (horário exigido não cumprido).",IF(2_Analise!P14&lt;&gt;"","CONFERIR: "&amp;2_Analise!P14&amp;". Complete a aba 1.",IF(2_Analise!R14&gt;0,"DESCONTO PROVÁVEL de "&amp;IF(MINUTE(2_Analise!R14)=0,HOUR(2_Analise!R14)&amp;"h",HOUR(2_Analise!R14)&amp;"h"&amp;TEXT(MINUTE(2_Analise!R14),"00"))&amp;": exigido "&amp;IF(MINUTE(2_Analise!K14)=0,HOUR(2_Analise!K14)&amp;"h",HOUR(2_Analise!K14)&amp;"h"&amp;TEXT(MINUTE(2_Analise!K14),"00"))&amp;", cumprido "&amp;IF(MINUTE(2_Analise!O14)=0,HOUR(2_Analise!O14)&amp;"h",HOUR(2_Analise!O14)&amp;"h"&amp;TEXT(MINUTE(2_Analise!O14),"00"))&amp;".",IF(2_Analise!X14&gt;0,IF(2_Analise!S14&gt;0,"EXTRA "&amp;IF(MINUTE(2_Analise!S14)=0,HOUR(2_Analise!S14)&amp;"h",HOUR(2_Analise!S14)&amp;"h"&amp;TEXT(MINUTE(2_Analise!S14),"00"))&amp;" e COMPENSAÇÃO DE "&amp;IF(MINUTE(2_Analise!X14)=0,HOUR(2_Analise!X14)&amp;"h",HOUR(2_Analise!X14)&amp;"h"&amp;TEXT(MINUTE(2_Analise!X14),"00"))&amp;" (horas excedentes de outros dias).","COMPENSAÇÃO DE "&amp;IF(MINUTE(2_Analise!X14)=0,HOUR(2_Analise!X14)&amp;"h",HOUR(2_Analise!X14)&amp;"h"&amp;TEXT(MINUTE(2_Analise!X14),"00"))&amp;": horas extras excedentes de outros dias, lançadas neste dia para respeitar o limite diário."),IF(AND(2_Analise!S14&gt;0,2_Analise!T14&gt;0),TEXT(A17,"dd/mm")&amp;": extras de "&amp;IF(MINUTE(2_Analise!Q14)=0,HOUR(2_Analise!Q14)&amp;"h",HOUR(2_Analise!Q14)&amp;"h"&amp;TEXT(MINUTE(2_Analise!Q14),"00"))&amp;". Lançadas "&amp;IF(MINUTE(2_Analise!S14)=0,HOUR(2_Analise!S14)&amp;"h",HOUR(2_Analise!S14)&amp;"h"&amp;TEXT(MINUTE(2_Analise!S14),"00"))&amp;" no dia (limite de "&amp;IF(MINUTE(Parametros!$B$19)=0,HOUR(Parametros!$B$19)&amp;"h",HOUR(Parametros!$B$19)&amp;"h"&amp;TEXT(MINUTE(Parametros!$B$19),"00"))&amp;") e "&amp;IF(MINUTE(2_Analise!T14)=0,HOUR(2_Analise!T14)&amp;"h",HOUR(2_Analise!T14)&amp;"h"&amp;TEXT(MINUTE(2_Analise!T14),"00"))&amp;" a compensar em outros dias.",IF(2_Analise!T14&gt;0,TEXT(A17,"dd/mm")&amp;": funcionária permaneceu em atividade até "&amp;IF(MINUTE(2_Analise!N14)=0,HOUR(2_Analise!N14)&amp;"h",HOUR(2_Analise!N14)&amp;"h"&amp;TEXT(MINUTE(2_Analise!N14),"00"))&amp;" por necessidade do serviço"&amp;IF(2_Analise!D14&lt;&gt;"",". Diretoria liberou os demais colaboradores às "&amp;IF(MINUTE(2_Analise!D14)=0,HOUR(2_Analise!D14)&amp;"h",HOUR(2_Analise!D14)&amp;"h"&amp;TEXT(MINUTE(2_Analise!D14),"00")),"")&amp;". Extras: "&amp;IF(MINUTE(2_Analise!T14)=0,HOUR(2_Analise!T14)&amp;"h",HOUR(2_Analise!T14)&amp;"h"&amp;TEXT(MINUTE(2_Analise!T14),"00"))&amp;" redistribuídas para compensação em outros dias.",IF(2_Analise!S14&gt;0,"EXTRA "&amp;IF(MINUTE(2_Analise!S14)=0,HOUR(2_Analise!S14)&amp;"h",HOUR(2_Analise!S14)&amp;"h"&amp;TEXT(MINUTE(2_Analise!S14),"00")),IF(2_Analise!F14="PREVISTO","Dia previsto: expediente normal, sem extras.","NORMAL: horário cumprido.")))))))))))</f>
        <v>FOLGA</v>
      </c>
    </row>
    <row r="18" customFormat="false" ht="31.5" hidden="false" customHeight="true" outlineLevel="0" collapsed="false">
      <c r="A18" s="16" t="n">
        <f aca="false">2_Analise!A15</f>
        <v>46334</v>
      </c>
      <c r="B18" s="17" t="str">
        <f aca="false">2_Analise!B15</f>
        <v>Domingo</v>
      </c>
      <c r="C18" s="28" t="str">
        <f aca="false">IF(OR(2_Analise!F15="TRABALHO",2_Analise!F15="PREVISTO"),IF(2_Analise!R15&gt;0,2_Analise!L15,2_Analise!G15),"")</f>
        <v/>
      </c>
      <c r="D18" s="28" t="str">
        <f aca="false">IF(C18="","",IF(F18&gt;2_Analise!H15,2_Analise!H15,""))</f>
        <v/>
      </c>
      <c r="E18" s="28" t="str">
        <f aca="false">IF(D18="","",2_Analise!I15)</f>
        <v/>
      </c>
      <c r="F18" s="28" t="str">
        <f aca="false">IF(C18="","",IF(2_Analise!R15&gt;0,2_Analise!N15,2_Analise!J15))</f>
        <v/>
      </c>
      <c r="G18" s="28" t="str">
        <f aca="false">IF(N(2_Analise!Y15)&gt;0,2_Analise!J15,"")</f>
        <v/>
      </c>
      <c r="H18" s="28" t="str">
        <f aca="false">IF(G18="","",ROUND((2_Analise!J15+2_Analise!Y15)*1440,0)/1440)</f>
        <v/>
      </c>
      <c r="I18" s="33" t="str">
        <f aca="false">IF(C18="","",ROUND((IF(H18&lt;&gt;"",H18,F18)-C18-IF(D18&lt;&gt;"",E18-D18,0))*1440,0)/1440)</f>
        <v/>
      </c>
      <c r="J18" s="33" t="str">
        <f aca="false">IF(N(2_Analise!Y15)&gt;0,2_Analise!Y15,"")</f>
        <v/>
      </c>
      <c r="K18" s="17" t="str">
        <f aca="false">IF(2_Analise!F15="","",IF(2_Analise!F15="FOLGA","FOLGA",IF(2_Analise!F15="FERIADO","FERIADO",IF(2_Analise!F15="FALTA","FALTA",IF(2_Analise!X15&gt;0,IF(2_Analise!S15&gt;0,"EXTRA + COMPENSAÇÃO","COMPENSAÇÃO"),IF(2_Analise!S15&gt;0,"EXTRA",IF(2_Analise!T15&gt;0,"EXTRA A COMPENSAR",IF(2_Analise!R15&gt;0,"DESCONTO PROVÁVEL",IF(2_Analise!F15="PREVISTO","PREVISTO","NORMAL")))))))))</f>
        <v>FOLGA</v>
      </c>
      <c r="L18" s="34"/>
      <c r="M18" s="34"/>
      <c r="N18" s="31" t="str">
        <f aca="false">IF(2_Analise!F15="","",IF(2_Analise!F15="FOLGA","FOLGA",IF(2_Analise!F15="FERIADO","FERIADO"&amp;IFERROR(" – "&amp;INDEX(Parametros!$B$35:$B$50,MATCH(A18,Parametros!$A$35:$A$50,0)),""),IF(2_Analise!F15="FALTA","FALTA: desconto de "&amp;IF(MINUTE(2_Analise!R15)=0,HOUR(2_Analise!R15)&amp;"h",HOUR(2_Analise!R15)&amp;"h"&amp;TEXT(MINUTE(2_Analise!R15),"00"))&amp;" (horário exigido não cumprido).",IF(2_Analise!P15&lt;&gt;"","CONFERIR: "&amp;2_Analise!P15&amp;". Complete a aba 1.",IF(2_Analise!R15&gt;0,"DESCONTO PROVÁVEL de "&amp;IF(MINUTE(2_Analise!R15)=0,HOUR(2_Analise!R15)&amp;"h",HOUR(2_Analise!R15)&amp;"h"&amp;TEXT(MINUTE(2_Analise!R15),"00"))&amp;": exigido "&amp;IF(MINUTE(2_Analise!K15)=0,HOUR(2_Analise!K15)&amp;"h",HOUR(2_Analise!K15)&amp;"h"&amp;TEXT(MINUTE(2_Analise!K15),"00"))&amp;", cumprido "&amp;IF(MINUTE(2_Analise!O15)=0,HOUR(2_Analise!O15)&amp;"h",HOUR(2_Analise!O15)&amp;"h"&amp;TEXT(MINUTE(2_Analise!O15),"00"))&amp;".",IF(2_Analise!X15&gt;0,IF(2_Analise!S15&gt;0,"EXTRA "&amp;IF(MINUTE(2_Analise!S15)=0,HOUR(2_Analise!S15)&amp;"h",HOUR(2_Analise!S15)&amp;"h"&amp;TEXT(MINUTE(2_Analise!S15),"00"))&amp;" e COMPENSAÇÃO DE "&amp;IF(MINUTE(2_Analise!X15)=0,HOUR(2_Analise!X15)&amp;"h",HOUR(2_Analise!X15)&amp;"h"&amp;TEXT(MINUTE(2_Analise!X15),"00"))&amp;" (horas excedentes de outros dias).","COMPENSAÇÃO DE "&amp;IF(MINUTE(2_Analise!X15)=0,HOUR(2_Analise!X15)&amp;"h",HOUR(2_Analise!X15)&amp;"h"&amp;TEXT(MINUTE(2_Analise!X15),"00"))&amp;": horas extras excedentes de outros dias, lançadas neste dia para respeitar o limite diário."),IF(AND(2_Analise!S15&gt;0,2_Analise!T15&gt;0),TEXT(A18,"dd/mm")&amp;": extras de "&amp;IF(MINUTE(2_Analise!Q15)=0,HOUR(2_Analise!Q15)&amp;"h",HOUR(2_Analise!Q15)&amp;"h"&amp;TEXT(MINUTE(2_Analise!Q15),"00"))&amp;". Lançadas "&amp;IF(MINUTE(2_Analise!S15)=0,HOUR(2_Analise!S15)&amp;"h",HOUR(2_Analise!S15)&amp;"h"&amp;TEXT(MINUTE(2_Analise!S15),"00"))&amp;" no dia (limite de "&amp;IF(MINUTE(Parametros!$B$19)=0,HOUR(Parametros!$B$19)&amp;"h",HOUR(Parametros!$B$19)&amp;"h"&amp;TEXT(MINUTE(Parametros!$B$19),"00"))&amp;") e "&amp;IF(MINUTE(2_Analise!T15)=0,HOUR(2_Analise!T15)&amp;"h",HOUR(2_Analise!T15)&amp;"h"&amp;TEXT(MINUTE(2_Analise!T15),"00"))&amp;" a compensar em outros dias.",IF(2_Analise!T15&gt;0,TEXT(A18,"dd/mm")&amp;": funcionária permaneceu em atividade até "&amp;IF(MINUTE(2_Analise!N15)=0,HOUR(2_Analise!N15)&amp;"h",HOUR(2_Analise!N15)&amp;"h"&amp;TEXT(MINUTE(2_Analise!N15),"00"))&amp;" por necessidade do serviço"&amp;IF(2_Analise!D15&lt;&gt;"",". Diretoria liberou os demais colaboradores às "&amp;IF(MINUTE(2_Analise!D15)=0,HOUR(2_Analise!D15)&amp;"h",HOUR(2_Analise!D15)&amp;"h"&amp;TEXT(MINUTE(2_Analise!D15),"00")),"")&amp;". Extras: "&amp;IF(MINUTE(2_Analise!T15)=0,HOUR(2_Analise!T15)&amp;"h",HOUR(2_Analise!T15)&amp;"h"&amp;TEXT(MINUTE(2_Analise!T15),"00"))&amp;" redistribuídas para compensação em outros dias.",IF(2_Analise!S15&gt;0,"EXTRA "&amp;IF(MINUTE(2_Analise!S15)=0,HOUR(2_Analise!S15)&amp;"h",HOUR(2_Analise!S15)&amp;"h"&amp;TEXT(MINUTE(2_Analise!S15),"00")),IF(2_Analise!F15="PREVISTO","Dia previsto: expediente normal, sem extras.","NORMAL: horário cumprido.")))))))))))</f>
        <v>FOLGA</v>
      </c>
    </row>
    <row r="19" customFormat="false" ht="31.5" hidden="false" customHeight="true" outlineLevel="0" collapsed="false">
      <c r="A19" s="16" t="n">
        <f aca="false">2_Analise!A16</f>
        <v>46335</v>
      </c>
      <c r="B19" s="17" t="str">
        <f aca="false">2_Analise!B16</f>
        <v>Segunda-feira</v>
      </c>
      <c r="C19" s="28" t="n">
        <f aca="false">IF(OR(2_Analise!F16="TRABALHO",2_Analise!F16="PREVISTO"),IF(2_Analise!R16&gt;0,2_Analise!L16,2_Analise!G16),"")</f>
        <v>0.333333333333333</v>
      </c>
      <c r="D19" s="28" t="n">
        <f aca="false">IF(C19="","",IF(F19&gt;2_Analise!H16,2_Analise!H16,""))</f>
        <v>0.5</v>
      </c>
      <c r="E19" s="28" t="n">
        <f aca="false">IF(D19="","",2_Analise!I16)</f>
        <v>0.541666666666667</v>
      </c>
      <c r="F19" s="28" t="n">
        <f aca="false">IF(C19="","",IF(2_Analise!R16&gt;0,2_Analise!N16,2_Analise!J16))</f>
        <v>0.708333333333333</v>
      </c>
      <c r="G19" s="28" t="str">
        <f aca="false">IF(N(2_Analise!Y16)&gt;0,2_Analise!J16,"")</f>
        <v/>
      </c>
      <c r="H19" s="28" t="str">
        <f aca="false">IF(G19="","",ROUND((2_Analise!J16+2_Analise!Y16)*1440,0)/1440)</f>
        <v/>
      </c>
      <c r="I19" s="33" t="n">
        <f aca="false">IF(C19="","",ROUND((IF(H19&lt;&gt;"",H19,F19)-C19-IF(D19&lt;&gt;"",E19-D19,0))*1440,0)/1440)</f>
        <v>0.333333333333333</v>
      </c>
      <c r="J19" s="33" t="str">
        <f aca="false">IF(N(2_Analise!Y16)&gt;0,2_Analise!Y16,"")</f>
        <v/>
      </c>
      <c r="K19" s="17" t="str">
        <f aca="false">IF(2_Analise!F16="","",IF(2_Analise!F16="FOLGA","FOLGA",IF(2_Analise!F16="FERIADO","FERIADO",IF(2_Analise!F16="FALTA","FALTA",IF(2_Analise!X16&gt;0,IF(2_Analise!S16&gt;0,"EXTRA + COMPENSAÇÃO","COMPENSAÇÃO"),IF(2_Analise!S16&gt;0,"EXTRA",IF(2_Analise!T16&gt;0,"EXTRA A COMPENSAR",IF(2_Analise!R16&gt;0,"DESCONTO PROVÁVEL",IF(2_Analise!F16="PREVISTO","PREVISTO","NORMAL")))))))))</f>
        <v>PREVISTO</v>
      </c>
      <c r="L19" s="34"/>
      <c r="M19" s="34"/>
      <c r="N19" s="31" t="str">
        <f aca="false">IF(2_Analise!F16="","",IF(2_Analise!F16="FOLGA","FOLGA",IF(2_Analise!F16="FERIADO","FERIADO"&amp;IFERROR(" – "&amp;INDEX(Parametros!$B$35:$B$50,MATCH(A19,Parametros!$A$35:$A$50,0)),""),IF(2_Analise!F16="FALTA","FALTA: desconto de "&amp;IF(MINUTE(2_Analise!R16)=0,HOUR(2_Analise!R16)&amp;"h",HOUR(2_Analise!R16)&amp;"h"&amp;TEXT(MINUTE(2_Analise!R16),"00"))&amp;" (horário exigido não cumprido).",IF(2_Analise!P16&lt;&gt;"","CONFERIR: "&amp;2_Analise!P16&amp;". Complete a aba 1.",IF(2_Analise!R16&gt;0,"DESCONTO PROVÁVEL de "&amp;IF(MINUTE(2_Analise!R16)=0,HOUR(2_Analise!R16)&amp;"h",HOUR(2_Analise!R16)&amp;"h"&amp;TEXT(MINUTE(2_Analise!R16),"00"))&amp;": exigido "&amp;IF(MINUTE(2_Analise!K16)=0,HOUR(2_Analise!K16)&amp;"h",HOUR(2_Analise!K16)&amp;"h"&amp;TEXT(MINUTE(2_Analise!K16),"00"))&amp;", cumprido "&amp;IF(MINUTE(2_Analise!O16)=0,HOUR(2_Analise!O16)&amp;"h",HOUR(2_Analise!O16)&amp;"h"&amp;TEXT(MINUTE(2_Analise!O16),"00"))&amp;".",IF(2_Analise!X16&gt;0,IF(2_Analise!S16&gt;0,"EXTRA "&amp;IF(MINUTE(2_Analise!S16)=0,HOUR(2_Analise!S16)&amp;"h",HOUR(2_Analise!S16)&amp;"h"&amp;TEXT(MINUTE(2_Analise!S16),"00"))&amp;" e COMPENSAÇÃO DE "&amp;IF(MINUTE(2_Analise!X16)=0,HOUR(2_Analise!X16)&amp;"h",HOUR(2_Analise!X16)&amp;"h"&amp;TEXT(MINUTE(2_Analise!X16),"00"))&amp;" (horas excedentes de outros dias).","COMPENSAÇÃO DE "&amp;IF(MINUTE(2_Analise!X16)=0,HOUR(2_Analise!X16)&amp;"h",HOUR(2_Analise!X16)&amp;"h"&amp;TEXT(MINUTE(2_Analise!X16),"00"))&amp;": horas extras excedentes de outros dias, lançadas neste dia para respeitar o limite diário."),IF(AND(2_Analise!S16&gt;0,2_Analise!T16&gt;0),TEXT(A19,"dd/mm")&amp;": extras de "&amp;IF(MINUTE(2_Analise!Q16)=0,HOUR(2_Analise!Q16)&amp;"h",HOUR(2_Analise!Q16)&amp;"h"&amp;TEXT(MINUTE(2_Analise!Q16),"00"))&amp;". Lançadas "&amp;IF(MINUTE(2_Analise!S16)=0,HOUR(2_Analise!S16)&amp;"h",HOUR(2_Analise!S16)&amp;"h"&amp;TEXT(MINUTE(2_Analise!S16),"00"))&amp;" no dia (limite de "&amp;IF(MINUTE(Parametros!$B$19)=0,HOUR(Parametros!$B$19)&amp;"h",HOUR(Parametros!$B$19)&amp;"h"&amp;TEXT(MINUTE(Parametros!$B$19),"00"))&amp;") e "&amp;IF(MINUTE(2_Analise!T16)=0,HOUR(2_Analise!T16)&amp;"h",HOUR(2_Analise!T16)&amp;"h"&amp;TEXT(MINUTE(2_Analise!T16),"00"))&amp;" a compensar em outros dias.",IF(2_Analise!T16&gt;0,TEXT(A19,"dd/mm")&amp;": funcionária permaneceu em atividade até "&amp;IF(MINUTE(2_Analise!N16)=0,HOUR(2_Analise!N16)&amp;"h",HOUR(2_Analise!N16)&amp;"h"&amp;TEXT(MINUTE(2_Analise!N16),"00"))&amp;" por necessidade do serviço"&amp;IF(2_Analise!D16&lt;&gt;"",". Diretoria liberou os demais colaboradores às "&amp;IF(MINUTE(2_Analise!D16)=0,HOUR(2_Analise!D16)&amp;"h",HOUR(2_Analise!D16)&amp;"h"&amp;TEXT(MINUTE(2_Analise!D16),"00")),"")&amp;". Extras: "&amp;IF(MINUTE(2_Analise!T16)=0,HOUR(2_Analise!T16)&amp;"h",HOUR(2_Analise!T16)&amp;"h"&amp;TEXT(MINUTE(2_Analise!T16),"00"))&amp;" redistribuídas para compensação em outros dias.",IF(2_Analise!S16&gt;0,"EXTRA "&amp;IF(MINUTE(2_Analise!S16)=0,HOUR(2_Analise!S16)&amp;"h",HOUR(2_Analise!S16)&amp;"h"&amp;TEXT(MINUTE(2_Analise!S16),"00")),IF(2_Analise!F16="PREVISTO","Dia previsto: expediente normal, sem extras.","NORMAL: horário cumprido.")))))))))))</f>
        <v>Dia previsto: expediente normal, sem extras.</v>
      </c>
    </row>
    <row r="20" customFormat="false" ht="31.5" hidden="false" customHeight="true" outlineLevel="0" collapsed="false">
      <c r="A20" s="16" t="n">
        <f aca="false">2_Analise!A17</f>
        <v>46336</v>
      </c>
      <c r="B20" s="17" t="str">
        <f aca="false">2_Analise!B17</f>
        <v>Terça-feira</v>
      </c>
      <c r="C20" s="28" t="n">
        <f aca="false">IF(OR(2_Analise!F17="TRABALHO",2_Analise!F17="PREVISTO"),IF(2_Analise!R17&gt;0,2_Analise!L17,2_Analise!G17),"")</f>
        <v>0.333333333333333</v>
      </c>
      <c r="D20" s="28" t="n">
        <f aca="false">IF(C20="","",IF(F20&gt;2_Analise!H17,2_Analise!H17,""))</f>
        <v>0.5</v>
      </c>
      <c r="E20" s="28" t="n">
        <f aca="false">IF(D20="","",2_Analise!I17)</f>
        <v>0.541666666666667</v>
      </c>
      <c r="F20" s="28" t="n">
        <f aca="false">IF(C20="","",IF(2_Analise!R17&gt;0,2_Analise!N17,2_Analise!J17))</f>
        <v>0.708333333333333</v>
      </c>
      <c r="G20" s="28" t="str">
        <f aca="false">IF(N(2_Analise!Y17)&gt;0,2_Analise!J17,"")</f>
        <v/>
      </c>
      <c r="H20" s="28" t="str">
        <f aca="false">IF(G20="","",ROUND((2_Analise!J17+2_Analise!Y17)*1440,0)/1440)</f>
        <v/>
      </c>
      <c r="I20" s="33" t="n">
        <f aca="false">IF(C20="","",ROUND((IF(H20&lt;&gt;"",H20,F20)-C20-IF(D20&lt;&gt;"",E20-D20,0))*1440,0)/1440)</f>
        <v>0.333333333333333</v>
      </c>
      <c r="J20" s="33" t="str">
        <f aca="false">IF(N(2_Analise!Y17)&gt;0,2_Analise!Y17,"")</f>
        <v/>
      </c>
      <c r="K20" s="17" t="str">
        <f aca="false">IF(2_Analise!F17="","",IF(2_Analise!F17="FOLGA","FOLGA",IF(2_Analise!F17="FERIADO","FERIADO",IF(2_Analise!F17="FALTA","FALTA",IF(2_Analise!X17&gt;0,IF(2_Analise!S17&gt;0,"EXTRA + COMPENSAÇÃO","COMPENSAÇÃO"),IF(2_Analise!S17&gt;0,"EXTRA",IF(2_Analise!T17&gt;0,"EXTRA A COMPENSAR",IF(2_Analise!R17&gt;0,"DESCONTO PROVÁVEL",IF(2_Analise!F17="PREVISTO","PREVISTO","NORMAL")))))))))</f>
        <v>PREVISTO</v>
      </c>
      <c r="L20" s="34"/>
      <c r="M20" s="34"/>
      <c r="N20" s="31" t="str">
        <f aca="false">IF(2_Analise!F17="","",IF(2_Analise!F17="FOLGA","FOLGA",IF(2_Analise!F17="FERIADO","FERIADO"&amp;IFERROR(" – "&amp;INDEX(Parametros!$B$35:$B$50,MATCH(A20,Parametros!$A$35:$A$50,0)),""),IF(2_Analise!F17="FALTA","FALTA: desconto de "&amp;IF(MINUTE(2_Analise!R17)=0,HOUR(2_Analise!R17)&amp;"h",HOUR(2_Analise!R17)&amp;"h"&amp;TEXT(MINUTE(2_Analise!R17),"00"))&amp;" (horário exigido não cumprido).",IF(2_Analise!P17&lt;&gt;"","CONFERIR: "&amp;2_Analise!P17&amp;". Complete a aba 1.",IF(2_Analise!R17&gt;0,"DESCONTO PROVÁVEL de "&amp;IF(MINUTE(2_Analise!R17)=0,HOUR(2_Analise!R17)&amp;"h",HOUR(2_Analise!R17)&amp;"h"&amp;TEXT(MINUTE(2_Analise!R17),"00"))&amp;": exigido "&amp;IF(MINUTE(2_Analise!K17)=0,HOUR(2_Analise!K17)&amp;"h",HOUR(2_Analise!K17)&amp;"h"&amp;TEXT(MINUTE(2_Analise!K17),"00"))&amp;", cumprido "&amp;IF(MINUTE(2_Analise!O17)=0,HOUR(2_Analise!O17)&amp;"h",HOUR(2_Analise!O17)&amp;"h"&amp;TEXT(MINUTE(2_Analise!O17),"00"))&amp;".",IF(2_Analise!X17&gt;0,IF(2_Analise!S17&gt;0,"EXTRA "&amp;IF(MINUTE(2_Analise!S17)=0,HOUR(2_Analise!S17)&amp;"h",HOUR(2_Analise!S17)&amp;"h"&amp;TEXT(MINUTE(2_Analise!S17),"00"))&amp;" e COMPENSAÇÃO DE "&amp;IF(MINUTE(2_Analise!X17)=0,HOUR(2_Analise!X17)&amp;"h",HOUR(2_Analise!X17)&amp;"h"&amp;TEXT(MINUTE(2_Analise!X17),"00"))&amp;" (horas excedentes de outros dias).","COMPENSAÇÃO DE "&amp;IF(MINUTE(2_Analise!X17)=0,HOUR(2_Analise!X17)&amp;"h",HOUR(2_Analise!X17)&amp;"h"&amp;TEXT(MINUTE(2_Analise!X17),"00"))&amp;": horas extras excedentes de outros dias, lançadas neste dia para respeitar o limite diário."),IF(AND(2_Analise!S17&gt;0,2_Analise!T17&gt;0),TEXT(A20,"dd/mm")&amp;": extras de "&amp;IF(MINUTE(2_Analise!Q17)=0,HOUR(2_Analise!Q17)&amp;"h",HOUR(2_Analise!Q17)&amp;"h"&amp;TEXT(MINUTE(2_Analise!Q17),"00"))&amp;". Lançadas "&amp;IF(MINUTE(2_Analise!S17)=0,HOUR(2_Analise!S17)&amp;"h",HOUR(2_Analise!S17)&amp;"h"&amp;TEXT(MINUTE(2_Analise!S17),"00"))&amp;" no dia (limite de "&amp;IF(MINUTE(Parametros!$B$19)=0,HOUR(Parametros!$B$19)&amp;"h",HOUR(Parametros!$B$19)&amp;"h"&amp;TEXT(MINUTE(Parametros!$B$19),"00"))&amp;") e "&amp;IF(MINUTE(2_Analise!T17)=0,HOUR(2_Analise!T17)&amp;"h",HOUR(2_Analise!T17)&amp;"h"&amp;TEXT(MINUTE(2_Analise!T17),"00"))&amp;" a compensar em outros dias.",IF(2_Analise!T17&gt;0,TEXT(A20,"dd/mm")&amp;": funcionária permaneceu em atividade até "&amp;IF(MINUTE(2_Analise!N17)=0,HOUR(2_Analise!N17)&amp;"h",HOUR(2_Analise!N17)&amp;"h"&amp;TEXT(MINUTE(2_Analise!N17),"00"))&amp;" por necessidade do serviço"&amp;IF(2_Analise!D17&lt;&gt;"",". Diretoria liberou os demais colaboradores às "&amp;IF(MINUTE(2_Analise!D17)=0,HOUR(2_Analise!D17)&amp;"h",HOUR(2_Analise!D17)&amp;"h"&amp;TEXT(MINUTE(2_Analise!D17),"00")),"")&amp;". Extras: "&amp;IF(MINUTE(2_Analise!T17)=0,HOUR(2_Analise!T17)&amp;"h",HOUR(2_Analise!T17)&amp;"h"&amp;TEXT(MINUTE(2_Analise!T17),"00"))&amp;" redistribuídas para compensação em outros dias.",IF(2_Analise!S17&gt;0,"EXTRA "&amp;IF(MINUTE(2_Analise!S17)=0,HOUR(2_Analise!S17)&amp;"h",HOUR(2_Analise!S17)&amp;"h"&amp;TEXT(MINUTE(2_Analise!S17),"00")),IF(2_Analise!F17="PREVISTO","Dia previsto: expediente normal, sem extras.","NORMAL: horário cumprido.")))))))))))</f>
        <v>Dia previsto: expediente normal, sem extras.</v>
      </c>
    </row>
    <row r="21" customFormat="false" ht="31.5" hidden="false" customHeight="true" outlineLevel="0" collapsed="false">
      <c r="A21" s="16" t="n">
        <f aca="false">2_Analise!A18</f>
        <v>46337</v>
      </c>
      <c r="B21" s="17" t="str">
        <f aca="false">2_Analise!B18</f>
        <v>Quarta-feira</v>
      </c>
      <c r="C21" s="28" t="n">
        <f aca="false">IF(OR(2_Analise!F18="TRABALHO",2_Analise!F18="PREVISTO"),IF(2_Analise!R18&gt;0,2_Analise!L18,2_Analise!G18),"")</f>
        <v>0.333333333333333</v>
      </c>
      <c r="D21" s="28" t="n">
        <f aca="false">IF(C21="","",IF(F21&gt;2_Analise!H18,2_Analise!H18,""))</f>
        <v>0.5</v>
      </c>
      <c r="E21" s="28" t="n">
        <f aca="false">IF(D21="","",2_Analise!I18)</f>
        <v>0.541666666666667</v>
      </c>
      <c r="F21" s="28" t="n">
        <f aca="false">IF(C21="","",IF(2_Analise!R18&gt;0,2_Analise!N18,2_Analise!J18))</f>
        <v>0.708333333333333</v>
      </c>
      <c r="G21" s="28" t="str">
        <f aca="false">IF(N(2_Analise!Y18)&gt;0,2_Analise!J18,"")</f>
        <v/>
      </c>
      <c r="H21" s="28" t="str">
        <f aca="false">IF(G21="","",ROUND((2_Analise!J18+2_Analise!Y18)*1440,0)/1440)</f>
        <v/>
      </c>
      <c r="I21" s="33" t="n">
        <f aca="false">IF(C21="","",ROUND((IF(H21&lt;&gt;"",H21,F21)-C21-IF(D21&lt;&gt;"",E21-D21,0))*1440,0)/1440)</f>
        <v>0.333333333333333</v>
      </c>
      <c r="J21" s="33" t="str">
        <f aca="false">IF(N(2_Analise!Y18)&gt;0,2_Analise!Y18,"")</f>
        <v/>
      </c>
      <c r="K21" s="17" t="str">
        <f aca="false">IF(2_Analise!F18="","",IF(2_Analise!F18="FOLGA","FOLGA",IF(2_Analise!F18="FERIADO","FERIADO",IF(2_Analise!F18="FALTA","FALTA",IF(2_Analise!X18&gt;0,IF(2_Analise!S18&gt;0,"EXTRA + COMPENSAÇÃO","COMPENSAÇÃO"),IF(2_Analise!S18&gt;0,"EXTRA",IF(2_Analise!T18&gt;0,"EXTRA A COMPENSAR",IF(2_Analise!R18&gt;0,"DESCONTO PROVÁVEL",IF(2_Analise!F18="PREVISTO","PREVISTO","NORMAL")))))))))</f>
        <v>PREVISTO</v>
      </c>
      <c r="L21" s="34"/>
      <c r="M21" s="34"/>
      <c r="N21" s="31" t="str">
        <f aca="false">IF(2_Analise!F18="","",IF(2_Analise!F18="FOLGA","FOLGA",IF(2_Analise!F18="FERIADO","FERIADO"&amp;IFERROR(" – "&amp;INDEX(Parametros!$B$35:$B$50,MATCH(A21,Parametros!$A$35:$A$50,0)),""),IF(2_Analise!F18="FALTA","FALTA: desconto de "&amp;IF(MINUTE(2_Analise!R18)=0,HOUR(2_Analise!R18)&amp;"h",HOUR(2_Analise!R18)&amp;"h"&amp;TEXT(MINUTE(2_Analise!R18),"00"))&amp;" (horário exigido não cumprido).",IF(2_Analise!P18&lt;&gt;"","CONFERIR: "&amp;2_Analise!P18&amp;". Complete a aba 1.",IF(2_Analise!R18&gt;0,"DESCONTO PROVÁVEL de "&amp;IF(MINUTE(2_Analise!R18)=0,HOUR(2_Analise!R18)&amp;"h",HOUR(2_Analise!R18)&amp;"h"&amp;TEXT(MINUTE(2_Analise!R18),"00"))&amp;": exigido "&amp;IF(MINUTE(2_Analise!K18)=0,HOUR(2_Analise!K18)&amp;"h",HOUR(2_Analise!K18)&amp;"h"&amp;TEXT(MINUTE(2_Analise!K18),"00"))&amp;", cumprido "&amp;IF(MINUTE(2_Analise!O18)=0,HOUR(2_Analise!O18)&amp;"h",HOUR(2_Analise!O18)&amp;"h"&amp;TEXT(MINUTE(2_Analise!O18),"00"))&amp;".",IF(2_Analise!X18&gt;0,IF(2_Analise!S18&gt;0,"EXTRA "&amp;IF(MINUTE(2_Analise!S18)=0,HOUR(2_Analise!S18)&amp;"h",HOUR(2_Analise!S18)&amp;"h"&amp;TEXT(MINUTE(2_Analise!S18),"00"))&amp;" e COMPENSAÇÃO DE "&amp;IF(MINUTE(2_Analise!X18)=0,HOUR(2_Analise!X18)&amp;"h",HOUR(2_Analise!X18)&amp;"h"&amp;TEXT(MINUTE(2_Analise!X18),"00"))&amp;" (horas excedentes de outros dias).","COMPENSAÇÃO DE "&amp;IF(MINUTE(2_Analise!X18)=0,HOUR(2_Analise!X18)&amp;"h",HOUR(2_Analise!X18)&amp;"h"&amp;TEXT(MINUTE(2_Analise!X18),"00"))&amp;": horas extras excedentes de outros dias, lançadas neste dia para respeitar o limite diário."),IF(AND(2_Analise!S18&gt;0,2_Analise!T18&gt;0),TEXT(A21,"dd/mm")&amp;": extras de "&amp;IF(MINUTE(2_Analise!Q18)=0,HOUR(2_Analise!Q18)&amp;"h",HOUR(2_Analise!Q18)&amp;"h"&amp;TEXT(MINUTE(2_Analise!Q18),"00"))&amp;". Lançadas "&amp;IF(MINUTE(2_Analise!S18)=0,HOUR(2_Analise!S18)&amp;"h",HOUR(2_Analise!S18)&amp;"h"&amp;TEXT(MINUTE(2_Analise!S18),"00"))&amp;" no dia (limite de "&amp;IF(MINUTE(Parametros!$B$19)=0,HOUR(Parametros!$B$19)&amp;"h",HOUR(Parametros!$B$19)&amp;"h"&amp;TEXT(MINUTE(Parametros!$B$19),"00"))&amp;") e "&amp;IF(MINUTE(2_Analise!T18)=0,HOUR(2_Analise!T18)&amp;"h",HOUR(2_Analise!T18)&amp;"h"&amp;TEXT(MINUTE(2_Analise!T18),"00"))&amp;" a compensar em outros dias.",IF(2_Analise!T18&gt;0,TEXT(A21,"dd/mm")&amp;": funcionária permaneceu em atividade até "&amp;IF(MINUTE(2_Analise!N18)=0,HOUR(2_Analise!N18)&amp;"h",HOUR(2_Analise!N18)&amp;"h"&amp;TEXT(MINUTE(2_Analise!N18),"00"))&amp;" por necessidade do serviço"&amp;IF(2_Analise!D18&lt;&gt;"",". Diretoria liberou os demais colaboradores às "&amp;IF(MINUTE(2_Analise!D18)=0,HOUR(2_Analise!D18)&amp;"h",HOUR(2_Analise!D18)&amp;"h"&amp;TEXT(MINUTE(2_Analise!D18),"00")),"")&amp;". Extras: "&amp;IF(MINUTE(2_Analise!T18)=0,HOUR(2_Analise!T18)&amp;"h",HOUR(2_Analise!T18)&amp;"h"&amp;TEXT(MINUTE(2_Analise!T18),"00"))&amp;" redistribuídas para compensação em outros dias.",IF(2_Analise!S18&gt;0,"EXTRA "&amp;IF(MINUTE(2_Analise!S18)=0,HOUR(2_Analise!S18)&amp;"h",HOUR(2_Analise!S18)&amp;"h"&amp;TEXT(MINUTE(2_Analise!S18),"00")),IF(2_Analise!F18="PREVISTO","Dia previsto: expediente normal, sem extras.","NORMAL: horário cumprido.")))))))))))</f>
        <v>Dia previsto: expediente normal, sem extras.</v>
      </c>
    </row>
    <row r="22" customFormat="false" ht="31.5" hidden="false" customHeight="true" outlineLevel="0" collapsed="false">
      <c r="A22" s="16" t="n">
        <f aca="false">2_Analise!A19</f>
        <v>46338</v>
      </c>
      <c r="B22" s="17" t="str">
        <f aca="false">2_Analise!B19</f>
        <v>Quinta-feira</v>
      </c>
      <c r="C22" s="28" t="n">
        <f aca="false">IF(OR(2_Analise!F19="TRABALHO",2_Analise!F19="PREVISTO"),IF(2_Analise!R19&gt;0,2_Analise!L19,2_Analise!G19),"")</f>
        <v>0.333333333333333</v>
      </c>
      <c r="D22" s="28" t="n">
        <f aca="false">IF(C22="","",IF(F22&gt;2_Analise!H19,2_Analise!H19,""))</f>
        <v>0.5</v>
      </c>
      <c r="E22" s="28" t="n">
        <f aca="false">IF(D22="","",2_Analise!I19)</f>
        <v>0.541666666666667</v>
      </c>
      <c r="F22" s="28" t="n">
        <f aca="false">IF(C22="","",IF(2_Analise!R19&gt;0,2_Analise!N19,2_Analise!J19))</f>
        <v>0.708333333333333</v>
      </c>
      <c r="G22" s="28" t="str">
        <f aca="false">IF(N(2_Analise!Y19)&gt;0,2_Analise!J19,"")</f>
        <v/>
      </c>
      <c r="H22" s="28" t="str">
        <f aca="false">IF(G22="","",ROUND((2_Analise!J19+2_Analise!Y19)*1440,0)/1440)</f>
        <v/>
      </c>
      <c r="I22" s="33" t="n">
        <f aca="false">IF(C22="","",ROUND((IF(H22&lt;&gt;"",H22,F22)-C22-IF(D22&lt;&gt;"",E22-D22,0))*1440,0)/1440)</f>
        <v>0.333333333333333</v>
      </c>
      <c r="J22" s="33" t="str">
        <f aca="false">IF(N(2_Analise!Y19)&gt;0,2_Analise!Y19,"")</f>
        <v/>
      </c>
      <c r="K22" s="17" t="str">
        <f aca="false">IF(2_Analise!F19="","",IF(2_Analise!F19="FOLGA","FOLGA",IF(2_Analise!F19="FERIADO","FERIADO",IF(2_Analise!F19="FALTA","FALTA",IF(2_Analise!X19&gt;0,IF(2_Analise!S19&gt;0,"EXTRA + COMPENSAÇÃO","COMPENSAÇÃO"),IF(2_Analise!S19&gt;0,"EXTRA",IF(2_Analise!T19&gt;0,"EXTRA A COMPENSAR",IF(2_Analise!R19&gt;0,"DESCONTO PROVÁVEL",IF(2_Analise!F19="PREVISTO","PREVISTO","NORMAL")))))))))</f>
        <v>PREVISTO</v>
      </c>
      <c r="L22" s="34"/>
      <c r="M22" s="34"/>
      <c r="N22" s="31" t="str">
        <f aca="false">IF(2_Analise!F19="","",IF(2_Analise!F19="FOLGA","FOLGA",IF(2_Analise!F19="FERIADO","FERIADO"&amp;IFERROR(" – "&amp;INDEX(Parametros!$B$35:$B$50,MATCH(A22,Parametros!$A$35:$A$50,0)),""),IF(2_Analise!F19="FALTA","FALTA: desconto de "&amp;IF(MINUTE(2_Analise!R19)=0,HOUR(2_Analise!R19)&amp;"h",HOUR(2_Analise!R19)&amp;"h"&amp;TEXT(MINUTE(2_Analise!R19),"00"))&amp;" (horário exigido não cumprido).",IF(2_Analise!P19&lt;&gt;"","CONFERIR: "&amp;2_Analise!P19&amp;". Complete a aba 1.",IF(2_Analise!R19&gt;0,"DESCONTO PROVÁVEL de "&amp;IF(MINUTE(2_Analise!R19)=0,HOUR(2_Analise!R19)&amp;"h",HOUR(2_Analise!R19)&amp;"h"&amp;TEXT(MINUTE(2_Analise!R19),"00"))&amp;": exigido "&amp;IF(MINUTE(2_Analise!K19)=0,HOUR(2_Analise!K19)&amp;"h",HOUR(2_Analise!K19)&amp;"h"&amp;TEXT(MINUTE(2_Analise!K19),"00"))&amp;", cumprido "&amp;IF(MINUTE(2_Analise!O19)=0,HOUR(2_Analise!O19)&amp;"h",HOUR(2_Analise!O19)&amp;"h"&amp;TEXT(MINUTE(2_Analise!O19),"00"))&amp;".",IF(2_Analise!X19&gt;0,IF(2_Analise!S19&gt;0,"EXTRA "&amp;IF(MINUTE(2_Analise!S19)=0,HOUR(2_Analise!S19)&amp;"h",HOUR(2_Analise!S19)&amp;"h"&amp;TEXT(MINUTE(2_Analise!S19),"00"))&amp;" e COMPENSAÇÃO DE "&amp;IF(MINUTE(2_Analise!X19)=0,HOUR(2_Analise!X19)&amp;"h",HOUR(2_Analise!X19)&amp;"h"&amp;TEXT(MINUTE(2_Analise!X19),"00"))&amp;" (horas excedentes de outros dias).","COMPENSAÇÃO DE "&amp;IF(MINUTE(2_Analise!X19)=0,HOUR(2_Analise!X19)&amp;"h",HOUR(2_Analise!X19)&amp;"h"&amp;TEXT(MINUTE(2_Analise!X19),"00"))&amp;": horas extras excedentes de outros dias, lançadas neste dia para respeitar o limite diário."),IF(AND(2_Analise!S19&gt;0,2_Analise!T19&gt;0),TEXT(A22,"dd/mm")&amp;": extras de "&amp;IF(MINUTE(2_Analise!Q19)=0,HOUR(2_Analise!Q19)&amp;"h",HOUR(2_Analise!Q19)&amp;"h"&amp;TEXT(MINUTE(2_Analise!Q19),"00"))&amp;". Lançadas "&amp;IF(MINUTE(2_Analise!S19)=0,HOUR(2_Analise!S19)&amp;"h",HOUR(2_Analise!S19)&amp;"h"&amp;TEXT(MINUTE(2_Analise!S19),"00"))&amp;" no dia (limite de "&amp;IF(MINUTE(Parametros!$B$19)=0,HOUR(Parametros!$B$19)&amp;"h",HOUR(Parametros!$B$19)&amp;"h"&amp;TEXT(MINUTE(Parametros!$B$19),"00"))&amp;") e "&amp;IF(MINUTE(2_Analise!T19)=0,HOUR(2_Analise!T19)&amp;"h",HOUR(2_Analise!T19)&amp;"h"&amp;TEXT(MINUTE(2_Analise!T19),"00"))&amp;" a compensar em outros dias.",IF(2_Analise!T19&gt;0,TEXT(A22,"dd/mm")&amp;": funcionária permaneceu em atividade até "&amp;IF(MINUTE(2_Analise!N19)=0,HOUR(2_Analise!N19)&amp;"h",HOUR(2_Analise!N19)&amp;"h"&amp;TEXT(MINUTE(2_Analise!N19),"00"))&amp;" por necessidade do serviço"&amp;IF(2_Analise!D19&lt;&gt;"",". Diretoria liberou os demais colaboradores às "&amp;IF(MINUTE(2_Analise!D19)=0,HOUR(2_Analise!D19)&amp;"h",HOUR(2_Analise!D19)&amp;"h"&amp;TEXT(MINUTE(2_Analise!D19),"00")),"")&amp;". Extras: "&amp;IF(MINUTE(2_Analise!T19)=0,HOUR(2_Analise!T19)&amp;"h",HOUR(2_Analise!T19)&amp;"h"&amp;TEXT(MINUTE(2_Analise!T19),"00"))&amp;" redistribuídas para compensação em outros dias.",IF(2_Analise!S19&gt;0,"EXTRA "&amp;IF(MINUTE(2_Analise!S19)=0,HOUR(2_Analise!S19)&amp;"h",HOUR(2_Analise!S19)&amp;"h"&amp;TEXT(MINUTE(2_Analise!S19),"00")),IF(2_Analise!F19="PREVISTO","Dia previsto: expediente normal, sem extras.","NORMAL: horário cumprido.")))))))))))</f>
        <v>Dia previsto: expediente normal, sem extras.</v>
      </c>
    </row>
    <row r="23" customFormat="false" ht="31.5" hidden="false" customHeight="true" outlineLevel="0" collapsed="false">
      <c r="A23" s="16" t="n">
        <f aca="false">2_Analise!A20</f>
        <v>46339</v>
      </c>
      <c r="B23" s="17" t="str">
        <f aca="false">2_Analise!B20</f>
        <v>Sexta-feira</v>
      </c>
      <c r="C23" s="28" t="n">
        <f aca="false">IF(OR(2_Analise!F20="TRABALHO",2_Analise!F20="PREVISTO"),IF(2_Analise!R20&gt;0,2_Analise!L20,2_Analise!G20),"")</f>
        <v>0.333333333333333</v>
      </c>
      <c r="D23" s="28" t="n">
        <f aca="false">IF(C23="","",IF(F23&gt;2_Analise!H20,2_Analise!H20,""))</f>
        <v>0.5</v>
      </c>
      <c r="E23" s="28" t="n">
        <f aca="false">IF(D23="","",2_Analise!I20)</f>
        <v>0.541666666666667</v>
      </c>
      <c r="F23" s="28" t="n">
        <f aca="false">IF(C23="","",IF(2_Analise!R20&gt;0,2_Analise!N20,2_Analise!J20))</f>
        <v>0.708333333333333</v>
      </c>
      <c r="G23" s="28" t="str">
        <f aca="false">IF(N(2_Analise!Y20)&gt;0,2_Analise!J20,"")</f>
        <v/>
      </c>
      <c r="H23" s="28" t="str">
        <f aca="false">IF(G23="","",ROUND((2_Analise!J20+2_Analise!Y20)*1440,0)/1440)</f>
        <v/>
      </c>
      <c r="I23" s="33" t="n">
        <f aca="false">IF(C23="","",ROUND((IF(H23&lt;&gt;"",H23,F23)-C23-IF(D23&lt;&gt;"",E23-D23,0))*1440,0)/1440)</f>
        <v>0.333333333333333</v>
      </c>
      <c r="J23" s="33" t="str">
        <f aca="false">IF(N(2_Analise!Y20)&gt;0,2_Analise!Y20,"")</f>
        <v/>
      </c>
      <c r="K23" s="17" t="str">
        <f aca="false">IF(2_Analise!F20="","",IF(2_Analise!F20="FOLGA","FOLGA",IF(2_Analise!F20="FERIADO","FERIADO",IF(2_Analise!F20="FALTA","FALTA",IF(2_Analise!X20&gt;0,IF(2_Analise!S20&gt;0,"EXTRA + COMPENSAÇÃO","COMPENSAÇÃO"),IF(2_Analise!S20&gt;0,"EXTRA",IF(2_Analise!T20&gt;0,"EXTRA A COMPENSAR",IF(2_Analise!R20&gt;0,"DESCONTO PROVÁVEL",IF(2_Analise!F20="PREVISTO","PREVISTO","NORMAL")))))))))</f>
        <v>PREVISTO</v>
      </c>
      <c r="L23" s="34"/>
      <c r="M23" s="34"/>
      <c r="N23" s="31" t="str">
        <f aca="false">IF(2_Analise!F20="","",IF(2_Analise!F20="FOLGA","FOLGA",IF(2_Analise!F20="FERIADO","FERIADO"&amp;IFERROR(" – "&amp;INDEX(Parametros!$B$35:$B$50,MATCH(A23,Parametros!$A$35:$A$50,0)),""),IF(2_Analise!F20="FALTA","FALTA: desconto de "&amp;IF(MINUTE(2_Analise!R20)=0,HOUR(2_Analise!R20)&amp;"h",HOUR(2_Analise!R20)&amp;"h"&amp;TEXT(MINUTE(2_Analise!R20),"00"))&amp;" (horário exigido não cumprido).",IF(2_Analise!P20&lt;&gt;"","CONFERIR: "&amp;2_Analise!P20&amp;". Complete a aba 1.",IF(2_Analise!R20&gt;0,"DESCONTO PROVÁVEL de "&amp;IF(MINUTE(2_Analise!R20)=0,HOUR(2_Analise!R20)&amp;"h",HOUR(2_Analise!R20)&amp;"h"&amp;TEXT(MINUTE(2_Analise!R20),"00"))&amp;": exigido "&amp;IF(MINUTE(2_Analise!K20)=0,HOUR(2_Analise!K20)&amp;"h",HOUR(2_Analise!K20)&amp;"h"&amp;TEXT(MINUTE(2_Analise!K20),"00"))&amp;", cumprido "&amp;IF(MINUTE(2_Analise!O20)=0,HOUR(2_Analise!O20)&amp;"h",HOUR(2_Analise!O20)&amp;"h"&amp;TEXT(MINUTE(2_Analise!O20),"00"))&amp;".",IF(2_Analise!X20&gt;0,IF(2_Analise!S20&gt;0,"EXTRA "&amp;IF(MINUTE(2_Analise!S20)=0,HOUR(2_Analise!S20)&amp;"h",HOUR(2_Analise!S20)&amp;"h"&amp;TEXT(MINUTE(2_Analise!S20),"00"))&amp;" e COMPENSAÇÃO DE "&amp;IF(MINUTE(2_Analise!X20)=0,HOUR(2_Analise!X20)&amp;"h",HOUR(2_Analise!X20)&amp;"h"&amp;TEXT(MINUTE(2_Analise!X20),"00"))&amp;" (horas excedentes de outros dias).","COMPENSAÇÃO DE "&amp;IF(MINUTE(2_Analise!X20)=0,HOUR(2_Analise!X20)&amp;"h",HOUR(2_Analise!X20)&amp;"h"&amp;TEXT(MINUTE(2_Analise!X20),"00"))&amp;": horas extras excedentes de outros dias, lançadas neste dia para respeitar o limite diário."),IF(AND(2_Analise!S20&gt;0,2_Analise!T20&gt;0),TEXT(A23,"dd/mm")&amp;": extras de "&amp;IF(MINUTE(2_Analise!Q20)=0,HOUR(2_Analise!Q20)&amp;"h",HOUR(2_Analise!Q20)&amp;"h"&amp;TEXT(MINUTE(2_Analise!Q20),"00"))&amp;". Lançadas "&amp;IF(MINUTE(2_Analise!S20)=0,HOUR(2_Analise!S20)&amp;"h",HOUR(2_Analise!S20)&amp;"h"&amp;TEXT(MINUTE(2_Analise!S20),"00"))&amp;" no dia (limite de "&amp;IF(MINUTE(Parametros!$B$19)=0,HOUR(Parametros!$B$19)&amp;"h",HOUR(Parametros!$B$19)&amp;"h"&amp;TEXT(MINUTE(Parametros!$B$19),"00"))&amp;") e "&amp;IF(MINUTE(2_Analise!T20)=0,HOUR(2_Analise!T20)&amp;"h",HOUR(2_Analise!T20)&amp;"h"&amp;TEXT(MINUTE(2_Analise!T20),"00"))&amp;" a compensar em outros dias.",IF(2_Analise!T20&gt;0,TEXT(A23,"dd/mm")&amp;": funcionária permaneceu em atividade até "&amp;IF(MINUTE(2_Analise!N20)=0,HOUR(2_Analise!N20)&amp;"h",HOUR(2_Analise!N20)&amp;"h"&amp;TEXT(MINUTE(2_Analise!N20),"00"))&amp;" por necessidade do serviço"&amp;IF(2_Analise!D20&lt;&gt;"",". Diretoria liberou os demais colaboradores às "&amp;IF(MINUTE(2_Analise!D20)=0,HOUR(2_Analise!D20)&amp;"h",HOUR(2_Analise!D20)&amp;"h"&amp;TEXT(MINUTE(2_Analise!D20),"00")),"")&amp;". Extras: "&amp;IF(MINUTE(2_Analise!T20)=0,HOUR(2_Analise!T20)&amp;"h",HOUR(2_Analise!T20)&amp;"h"&amp;TEXT(MINUTE(2_Analise!T20),"00"))&amp;" redistribuídas para compensação em outros dias.",IF(2_Analise!S20&gt;0,"EXTRA "&amp;IF(MINUTE(2_Analise!S20)=0,HOUR(2_Analise!S20)&amp;"h",HOUR(2_Analise!S20)&amp;"h"&amp;TEXT(MINUTE(2_Analise!S20),"00")),IF(2_Analise!F20="PREVISTO","Dia previsto: expediente normal, sem extras.","NORMAL: horário cumprido.")))))))))))</f>
        <v>Dia previsto: expediente normal, sem extras.</v>
      </c>
    </row>
    <row r="24" customFormat="false" ht="31.5" hidden="false" customHeight="true" outlineLevel="0" collapsed="false">
      <c r="A24" s="16" t="n">
        <f aca="false">2_Analise!A21</f>
        <v>46340</v>
      </c>
      <c r="B24" s="17" t="str">
        <f aca="false">2_Analise!B21</f>
        <v>Sábado</v>
      </c>
      <c r="C24" s="28" t="str">
        <f aca="false">IF(OR(2_Analise!F21="TRABALHO",2_Analise!F21="PREVISTO"),IF(2_Analise!R21&gt;0,2_Analise!L21,2_Analise!G21),"")</f>
        <v/>
      </c>
      <c r="D24" s="28" t="str">
        <f aca="false">IF(C24="","",IF(F24&gt;2_Analise!H21,2_Analise!H21,""))</f>
        <v/>
      </c>
      <c r="E24" s="28" t="str">
        <f aca="false">IF(D24="","",2_Analise!I21)</f>
        <v/>
      </c>
      <c r="F24" s="28" t="str">
        <f aca="false">IF(C24="","",IF(2_Analise!R21&gt;0,2_Analise!N21,2_Analise!J21))</f>
        <v/>
      </c>
      <c r="G24" s="28" t="str">
        <f aca="false">IF(N(2_Analise!Y21)&gt;0,2_Analise!J21,"")</f>
        <v/>
      </c>
      <c r="H24" s="28" t="str">
        <f aca="false">IF(G24="","",ROUND((2_Analise!J21+2_Analise!Y21)*1440,0)/1440)</f>
        <v/>
      </c>
      <c r="I24" s="33" t="str">
        <f aca="false">IF(C24="","",ROUND((IF(H24&lt;&gt;"",H24,F24)-C24-IF(D24&lt;&gt;"",E24-D24,0))*1440,0)/1440)</f>
        <v/>
      </c>
      <c r="J24" s="33" t="str">
        <f aca="false">IF(N(2_Analise!Y21)&gt;0,2_Analise!Y21,"")</f>
        <v/>
      </c>
      <c r="K24" s="17" t="str">
        <f aca="false">IF(2_Analise!F21="","",IF(2_Analise!F21="FOLGA","FOLGA",IF(2_Analise!F21="FERIADO","FERIADO",IF(2_Analise!F21="FALTA","FALTA",IF(2_Analise!X21&gt;0,IF(2_Analise!S21&gt;0,"EXTRA + COMPENSAÇÃO","COMPENSAÇÃO"),IF(2_Analise!S21&gt;0,"EXTRA",IF(2_Analise!T21&gt;0,"EXTRA A COMPENSAR",IF(2_Analise!R21&gt;0,"DESCONTO PROVÁVEL",IF(2_Analise!F21="PREVISTO","PREVISTO","NORMAL")))))))))</f>
        <v>FOLGA</v>
      </c>
      <c r="L24" s="34"/>
      <c r="M24" s="34"/>
      <c r="N24" s="31" t="str">
        <f aca="false">IF(2_Analise!F21="","",IF(2_Analise!F21="FOLGA","FOLGA",IF(2_Analise!F21="FERIADO","FERIADO"&amp;IFERROR(" – "&amp;INDEX(Parametros!$B$35:$B$50,MATCH(A24,Parametros!$A$35:$A$50,0)),""),IF(2_Analise!F21="FALTA","FALTA: desconto de "&amp;IF(MINUTE(2_Analise!R21)=0,HOUR(2_Analise!R21)&amp;"h",HOUR(2_Analise!R21)&amp;"h"&amp;TEXT(MINUTE(2_Analise!R21),"00"))&amp;" (horário exigido não cumprido).",IF(2_Analise!P21&lt;&gt;"","CONFERIR: "&amp;2_Analise!P21&amp;". Complete a aba 1.",IF(2_Analise!R21&gt;0,"DESCONTO PROVÁVEL de "&amp;IF(MINUTE(2_Analise!R21)=0,HOUR(2_Analise!R21)&amp;"h",HOUR(2_Analise!R21)&amp;"h"&amp;TEXT(MINUTE(2_Analise!R21),"00"))&amp;": exigido "&amp;IF(MINUTE(2_Analise!K21)=0,HOUR(2_Analise!K21)&amp;"h",HOUR(2_Analise!K21)&amp;"h"&amp;TEXT(MINUTE(2_Analise!K21),"00"))&amp;", cumprido "&amp;IF(MINUTE(2_Analise!O21)=0,HOUR(2_Analise!O21)&amp;"h",HOUR(2_Analise!O21)&amp;"h"&amp;TEXT(MINUTE(2_Analise!O21),"00"))&amp;".",IF(2_Analise!X21&gt;0,IF(2_Analise!S21&gt;0,"EXTRA "&amp;IF(MINUTE(2_Analise!S21)=0,HOUR(2_Analise!S21)&amp;"h",HOUR(2_Analise!S21)&amp;"h"&amp;TEXT(MINUTE(2_Analise!S21),"00"))&amp;" e COMPENSAÇÃO DE "&amp;IF(MINUTE(2_Analise!X21)=0,HOUR(2_Analise!X21)&amp;"h",HOUR(2_Analise!X21)&amp;"h"&amp;TEXT(MINUTE(2_Analise!X21),"00"))&amp;" (horas excedentes de outros dias).","COMPENSAÇÃO DE "&amp;IF(MINUTE(2_Analise!X21)=0,HOUR(2_Analise!X21)&amp;"h",HOUR(2_Analise!X21)&amp;"h"&amp;TEXT(MINUTE(2_Analise!X21),"00"))&amp;": horas extras excedentes de outros dias, lançadas neste dia para respeitar o limite diário."),IF(AND(2_Analise!S21&gt;0,2_Analise!T21&gt;0),TEXT(A24,"dd/mm")&amp;": extras de "&amp;IF(MINUTE(2_Analise!Q21)=0,HOUR(2_Analise!Q21)&amp;"h",HOUR(2_Analise!Q21)&amp;"h"&amp;TEXT(MINUTE(2_Analise!Q21),"00"))&amp;". Lançadas "&amp;IF(MINUTE(2_Analise!S21)=0,HOUR(2_Analise!S21)&amp;"h",HOUR(2_Analise!S21)&amp;"h"&amp;TEXT(MINUTE(2_Analise!S21),"00"))&amp;" no dia (limite de "&amp;IF(MINUTE(Parametros!$B$19)=0,HOUR(Parametros!$B$19)&amp;"h",HOUR(Parametros!$B$19)&amp;"h"&amp;TEXT(MINUTE(Parametros!$B$19),"00"))&amp;") e "&amp;IF(MINUTE(2_Analise!T21)=0,HOUR(2_Analise!T21)&amp;"h",HOUR(2_Analise!T21)&amp;"h"&amp;TEXT(MINUTE(2_Analise!T21),"00"))&amp;" a compensar em outros dias.",IF(2_Analise!T21&gt;0,TEXT(A24,"dd/mm")&amp;": funcionária permaneceu em atividade até "&amp;IF(MINUTE(2_Analise!N21)=0,HOUR(2_Analise!N21)&amp;"h",HOUR(2_Analise!N21)&amp;"h"&amp;TEXT(MINUTE(2_Analise!N21),"00"))&amp;" por necessidade do serviço"&amp;IF(2_Analise!D21&lt;&gt;"",". Diretoria liberou os demais colaboradores às "&amp;IF(MINUTE(2_Analise!D21)=0,HOUR(2_Analise!D21)&amp;"h",HOUR(2_Analise!D21)&amp;"h"&amp;TEXT(MINUTE(2_Analise!D21),"00")),"")&amp;". Extras: "&amp;IF(MINUTE(2_Analise!T21)=0,HOUR(2_Analise!T21)&amp;"h",HOUR(2_Analise!T21)&amp;"h"&amp;TEXT(MINUTE(2_Analise!T21),"00"))&amp;" redistribuídas para compensação em outros dias.",IF(2_Analise!S21&gt;0,"EXTRA "&amp;IF(MINUTE(2_Analise!S21)=0,HOUR(2_Analise!S21)&amp;"h",HOUR(2_Analise!S21)&amp;"h"&amp;TEXT(MINUTE(2_Analise!S21),"00")),IF(2_Analise!F21="PREVISTO","Dia previsto: expediente normal, sem extras.","NORMAL: horário cumprido.")))))))))))</f>
        <v>FOLGA</v>
      </c>
    </row>
    <row r="25" customFormat="false" ht="31.5" hidden="false" customHeight="true" outlineLevel="0" collapsed="false">
      <c r="A25" s="16" t="n">
        <f aca="false">2_Analise!A22</f>
        <v>46341</v>
      </c>
      <c r="B25" s="17" t="str">
        <f aca="false">2_Analise!B22</f>
        <v>Domingo</v>
      </c>
      <c r="C25" s="28" t="str">
        <f aca="false">IF(OR(2_Analise!F22="TRABALHO",2_Analise!F22="PREVISTO"),IF(2_Analise!R22&gt;0,2_Analise!L22,2_Analise!G22),"")</f>
        <v/>
      </c>
      <c r="D25" s="28" t="str">
        <f aca="false">IF(C25="","",IF(F25&gt;2_Analise!H22,2_Analise!H22,""))</f>
        <v/>
      </c>
      <c r="E25" s="28" t="str">
        <f aca="false">IF(D25="","",2_Analise!I22)</f>
        <v/>
      </c>
      <c r="F25" s="28" t="str">
        <f aca="false">IF(C25="","",IF(2_Analise!R22&gt;0,2_Analise!N22,2_Analise!J22))</f>
        <v/>
      </c>
      <c r="G25" s="28" t="str">
        <f aca="false">IF(N(2_Analise!Y22)&gt;0,2_Analise!J22,"")</f>
        <v/>
      </c>
      <c r="H25" s="28" t="str">
        <f aca="false">IF(G25="","",ROUND((2_Analise!J22+2_Analise!Y22)*1440,0)/1440)</f>
        <v/>
      </c>
      <c r="I25" s="33" t="str">
        <f aca="false">IF(C25="","",ROUND((IF(H25&lt;&gt;"",H25,F25)-C25-IF(D25&lt;&gt;"",E25-D25,0))*1440,0)/1440)</f>
        <v/>
      </c>
      <c r="J25" s="33" t="str">
        <f aca="false">IF(N(2_Analise!Y22)&gt;0,2_Analise!Y22,"")</f>
        <v/>
      </c>
      <c r="K25" s="17" t="str">
        <f aca="false">IF(2_Analise!F22="","",IF(2_Analise!F22="FOLGA","FOLGA",IF(2_Analise!F22="FERIADO","FERIADO",IF(2_Analise!F22="FALTA","FALTA",IF(2_Analise!X22&gt;0,IF(2_Analise!S22&gt;0,"EXTRA + COMPENSAÇÃO","COMPENSAÇÃO"),IF(2_Analise!S22&gt;0,"EXTRA",IF(2_Analise!T22&gt;0,"EXTRA A COMPENSAR",IF(2_Analise!R22&gt;0,"DESCONTO PROVÁVEL",IF(2_Analise!F22="PREVISTO","PREVISTO","NORMAL")))))))))</f>
        <v>FERIADO</v>
      </c>
      <c r="L25" s="34"/>
      <c r="M25" s="34"/>
      <c r="N25" s="31" t="str">
        <f aca="false">IF(2_Analise!F22="","",IF(2_Analise!F22="FOLGA","FOLGA",IF(2_Analise!F22="FERIADO","FERIADO"&amp;IFERROR(" – "&amp;INDEX(Parametros!$B$35:$B$50,MATCH(A25,Parametros!$A$35:$A$50,0)),""),IF(2_Analise!F22="FALTA","FALTA: desconto de "&amp;IF(MINUTE(2_Analise!R22)=0,HOUR(2_Analise!R22)&amp;"h",HOUR(2_Analise!R22)&amp;"h"&amp;TEXT(MINUTE(2_Analise!R22),"00"))&amp;" (horário exigido não cumprido).",IF(2_Analise!P22&lt;&gt;"","CONFERIR: "&amp;2_Analise!P22&amp;". Complete a aba 1.",IF(2_Analise!R22&gt;0,"DESCONTO PROVÁVEL de "&amp;IF(MINUTE(2_Analise!R22)=0,HOUR(2_Analise!R22)&amp;"h",HOUR(2_Analise!R22)&amp;"h"&amp;TEXT(MINUTE(2_Analise!R22),"00"))&amp;": exigido "&amp;IF(MINUTE(2_Analise!K22)=0,HOUR(2_Analise!K22)&amp;"h",HOUR(2_Analise!K22)&amp;"h"&amp;TEXT(MINUTE(2_Analise!K22),"00"))&amp;", cumprido "&amp;IF(MINUTE(2_Analise!O22)=0,HOUR(2_Analise!O22)&amp;"h",HOUR(2_Analise!O22)&amp;"h"&amp;TEXT(MINUTE(2_Analise!O22),"00"))&amp;".",IF(2_Analise!X22&gt;0,IF(2_Analise!S22&gt;0,"EXTRA "&amp;IF(MINUTE(2_Analise!S22)=0,HOUR(2_Analise!S22)&amp;"h",HOUR(2_Analise!S22)&amp;"h"&amp;TEXT(MINUTE(2_Analise!S22),"00"))&amp;" e COMPENSAÇÃO DE "&amp;IF(MINUTE(2_Analise!X22)=0,HOUR(2_Analise!X22)&amp;"h",HOUR(2_Analise!X22)&amp;"h"&amp;TEXT(MINUTE(2_Analise!X22),"00"))&amp;" (horas excedentes de outros dias).","COMPENSAÇÃO DE "&amp;IF(MINUTE(2_Analise!X22)=0,HOUR(2_Analise!X22)&amp;"h",HOUR(2_Analise!X22)&amp;"h"&amp;TEXT(MINUTE(2_Analise!X22),"00"))&amp;": horas extras excedentes de outros dias, lançadas neste dia para respeitar o limite diário."),IF(AND(2_Analise!S22&gt;0,2_Analise!T22&gt;0),TEXT(A25,"dd/mm")&amp;": extras de "&amp;IF(MINUTE(2_Analise!Q22)=0,HOUR(2_Analise!Q22)&amp;"h",HOUR(2_Analise!Q22)&amp;"h"&amp;TEXT(MINUTE(2_Analise!Q22),"00"))&amp;". Lançadas "&amp;IF(MINUTE(2_Analise!S22)=0,HOUR(2_Analise!S22)&amp;"h",HOUR(2_Analise!S22)&amp;"h"&amp;TEXT(MINUTE(2_Analise!S22),"00"))&amp;" no dia (limite de "&amp;IF(MINUTE(Parametros!$B$19)=0,HOUR(Parametros!$B$19)&amp;"h",HOUR(Parametros!$B$19)&amp;"h"&amp;TEXT(MINUTE(Parametros!$B$19),"00"))&amp;") e "&amp;IF(MINUTE(2_Analise!T22)=0,HOUR(2_Analise!T22)&amp;"h",HOUR(2_Analise!T22)&amp;"h"&amp;TEXT(MINUTE(2_Analise!T22),"00"))&amp;" a compensar em outros dias.",IF(2_Analise!T22&gt;0,TEXT(A25,"dd/mm")&amp;": funcionária permaneceu em atividade até "&amp;IF(MINUTE(2_Analise!N22)=0,HOUR(2_Analise!N22)&amp;"h",HOUR(2_Analise!N22)&amp;"h"&amp;TEXT(MINUTE(2_Analise!N22),"00"))&amp;" por necessidade do serviço"&amp;IF(2_Analise!D22&lt;&gt;"",". Diretoria liberou os demais colaboradores às "&amp;IF(MINUTE(2_Analise!D22)=0,HOUR(2_Analise!D22)&amp;"h",HOUR(2_Analise!D22)&amp;"h"&amp;TEXT(MINUTE(2_Analise!D22),"00")),"")&amp;". Extras: "&amp;IF(MINUTE(2_Analise!T22)=0,HOUR(2_Analise!T22)&amp;"h",HOUR(2_Analise!T22)&amp;"h"&amp;TEXT(MINUTE(2_Analise!T22),"00"))&amp;" redistribuídas para compensação em outros dias.",IF(2_Analise!S22&gt;0,"EXTRA "&amp;IF(MINUTE(2_Analise!S22)=0,HOUR(2_Analise!S22)&amp;"h",HOUR(2_Analise!S22)&amp;"h"&amp;TEXT(MINUTE(2_Analise!S22),"00")),IF(2_Analise!F22="PREVISTO","Dia previsto: expediente normal, sem extras.","NORMAL: horário cumprido.")))))))))))</f>
        <v>FERIADO – Proclamação da República</v>
      </c>
    </row>
    <row r="26" customFormat="false" ht="31.5" hidden="false" customHeight="true" outlineLevel="0" collapsed="false">
      <c r="A26" s="16" t="n">
        <f aca="false">2_Analise!A23</f>
        <v>46342</v>
      </c>
      <c r="B26" s="17" t="str">
        <f aca="false">2_Analise!B23</f>
        <v>Segunda-feira</v>
      </c>
      <c r="C26" s="28" t="n">
        <f aca="false">IF(OR(2_Analise!F23="TRABALHO",2_Analise!F23="PREVISTO"),IF(2_Analise!R23&gt;0,2_Analise!L23,2_Analise!G23),"")</f>
        <v>0.333333333333333</v>
      </c>
      <c r="D26" s="28" t="n">
        <f aca="false">IF(C26="","",IF(F26&gt;2_Analise!H23,2_Analise!H23,""))</f>
        <v>0.5</v>
      </c>
      <c r="E26" s="28" t="n">
        <f aca="false">IF(D26="","",2_Analise!I23)</f>
        <v>0.541666666666667</v>
      </c>
      <c r="F26" s="28" t="n">
        <f aca="false">IF(C26="","",IF(2_Analise!R23&gt;0,2_Analise!N23,2_Analise!J23))</f>
        <v>0.708333333333333</v>
      </c>
      <c r="G26" s="28" t="str">
        <f aca="false">IF(N(2_Analise!Y23)&gt;0,2_Analise!J23,"")</f>
        <v/>
      </c>
      <c r="H26" s="28" t="str">
        <f aca="false">IF(G26="","",ROUND((2_Analise!J23+2_Analise!Y23)*1440,0)/1440)</f>
        <v/>
      </c>
      <c r="I26" s="33" t="n">
        <f aca="false">IF(C26="","",ROUND((IF(H26&lt;&gt;"",H26,F26)-C26-IF(D26&lt;&gt;"",E26-D26,0))*1440,0)/1440)</f>
        <v>0.333333333333333</v>
      </c>
      <c r="J26" s="33" t="str">
        <f aca="false">IF(N(2_Analise!Y23)&gt;0,2_Analise!Y23,"")</f>
        <v/>
      </c>
      <c r="K26" s="17" t="str">
        <f aca="false">IF(2_Analise!F23="","",IF(2_Analise!F23="FOLGA","FOLGA",IF(2_Analise!F23="FERIADO","FERIADO",IF(2_Analise!F23="FALTA","FALTA",IF(2_Analise!X23&gt;0,IF(2_Analise!S23&gt;0,"EXTRA + COMPENSAÇÃO","COMPENSAÇÃO"),IF(2_Analise!S23&gt;0,"EXTRA",IF(2_Analise!T23&gt;0,"EXTRA A COMPENSAR",IF(2_Analise!R23&gt;0,"DESCONTO PROVÁVEL",IF(2_Analise!F23="PREVISTO","PREVISTO","NORMAL")))))))))</f>
        <v>PREVISTO</v>
      </c>
      <c r="L26" s="34"/>
      <c r="M26" s="34"/>
      <c r="N26" s="31" t="str">
        <f aca="false">IF(2_Analise!F23="","",IF(2_Analise!F23="FOLGA","FOLGA",IF(2_Analise!F23="FERIADO","FERIADO"&amp;IFERROR(" – "&amp;INDEX(Parametros!$B$35:$B$50,MATCH(A26,Parametros!$A$35:$A$50,0)),""),IF(2_Analise!F23="FALTA","FALTA: desconto de "&amp;IF(MINUTE(2_Analise!R23)=0,HOUR(2_Analise!R23)&amp;"h",HOUR(2_Analise!R23)&amp;"h"&amp;TEXT(MINUTE(2_Analise!R23),"00"))&amp;" (horário exigido não cumprido).",IF(2_Analise!P23&lt;&gt;"","CONFERIR: "&amp;2_Analise!P23&amp;". Complete a aba 1.",IF(2_Analise!R23&gt;0,"DESCONTO PROVÁVEL de "&amp;IF(MINUTE(2_Analise!R23)=0,HOUR(2_Analise!R23)&amp;"h",HOUR(2_Analise!R23)&amp;"h"&amp;TEXT(MINUTE(2_Analise!R23),"00"))&amp;": exigido "&amp;IF(MINUTE(2_Analise!K23)=0,HOUR(2_Analise!K23)&amp;"h",HOUR(2_Analise!K23)&amp;"h"&amp;TEXT(MINUTE(2_Analise!K23),"00"))&amp;", cumprido "&amp;IF(MINUTE(2_Analise!O23)=0,HOUR(2_Analise!O23)&amp;"h",HOUR(2_Analise!O23)&amp;"h"&amp;TEXT(MINUTE(2_Analise!O23),"00"))&amp;".",IF(2_Analise!X23&gt;0,IF(2_Analise!S23&gt;0,"EXTRA "&amp;IF(MINUTE(2_Analise!S23)=0,HOUR(2_Analise!S23)&amp;"h",HOUR(2_Analise!S23)&amp;"h"&amp;TEXT(MINUTE(2_Analise!S23),"00"))&amp;" e COMPENSAÇÃO DE "&amp;IF(MINUTE(2_Analise!X23)=0,HOUR(2_Analise!X23)&amp;"h",HOUR(2_Analise!X23)&amp;"h"&amp;TEXT(MINUTE(2_Analise!X23),"00"))&amp;" (horas excedentes de outros dias).","COMPENSAÇÃO DE "&amp;IF(MINUTE(2_Analise!X23)=0,HOUR(2_Analise!X23)&amp;"h",HOUR(2_Analise!X23)&amp;"h"&amp;TEXT(MINUTE(2_Analise!X23),"00"))&amp;": horas extras excedentes de outros dias, lançadas neste dia para respeitar o limite diário."),IF(AND(2_Analise!S23&gt;0,2_Analise!T23&gt;0),TEXT(A26,"dd/mm")&amp;": extras de "&amp;IF(MINUTE(2_Analise!Q23)=0,HOUR(2_Analise!Q23)&amp;"h",HOUR(2_Analise!Q23)&amp;"h"&amp;TEXT(MINUTE(2_Analise!Q23),"00"))&amp;". Lançadas "&amp;IF(MINUTE(2_Analise!S23)=0,HOUR(2_Analise!S23)&amp;"h",HOUR(2_Analise!S23)&amp;"h"&amp;TEXT(MINUTE(2_Analise!S23),"00"))&amp;" no dia (limite de "&amp;IF(MINUTE(Parametros!$B$19)=0,HOUR(Parametros!$B$19)&amp;"h",HOUR(Parametros!$B$19)&amp;"h"&amp;TEXT(MINUTE(Parametros!$B$19),"00"))&amp;") e "&amp;IF(MINUTE(2_Analise!T23)=0,HOUR(2_Analise!T23)&amp;"h",HOUR(2_Analise!T23)&amp;"h"&amp;TEXT(MINUTE(2_Analise!T23),"00"))&amp;" a compensar em outros dias.",IF(2_Analise!T23&gt;0,TEXT(A26,"dd/mm")&amp;": funcionária permaneceu em atividade até "&amp;IF(MINUTE(2_Analise!N23)=0,HOUR(2_Analise!N23)&amp;"h",HOUR(2_Analise!N23)&amp;"h"&amp;TEXT(MINUTE(2_Analise!N23),"00"))&amp;" por necessidade do serviço"&amp;IF(2_Analise!D23&lt;&gt;"",". Diretoria liberou os demais colaboradores às "&amp;IF(MINUTE(2_Analise!D23)=0,HOUR(2_Analise!D23)&amp;"h",HOUR(2_Analise!D23)&amp;"h"&amp;TEXT(MINUTE(2_Analise!D23),"00")),"")&amp;". Extras: "&amp;IF(MINUTE(2_Analise!T23)=0,HOUR(2_Analise!T23)&amp;"h",HOUR(2_Analise!T23)&amp;"h"&amp;TEXT(MINUTE(2_Analise!T23),"00"))&amp;" redistribuídas para compensação em outros dias.",IF(2_Analise!S23&gt;0,"EXTRA "&amp;IF(MINUTE(2_Analise!S23)=0,HOUR(2_Analise!S23)&amp;"h",HOUR(2_Analise!S23)&amp;"h"&amp;TEXT(MINUTE(2_Analise!S23),"00")),IF(2_Analise!F23="PREVISTO","Dia previsto: expediente normal, sem extras.","NORMAL: horário cumprido.")))))))))))</f>
        <v>Dia previsto: expediente normal, sem extras.</v>
      </c>
    </row>
    <row r="27" customFormat="false" ht="31.5" hidden="false" customHeight="true" outlineLevel="0" collapsed="false">
      <c r="A27" s="16" t="n">
        <f aca="false">2_Analise!A24</f>
        <v>46343</v>
      </c>
      <c r="B27" s="17" t="str">
        <f aca="false">2_Analise!B24</f>
        <v>Terça-feira</v>
      </c>
      <c r="C27" s="28" t="n">
        <f aca="false">IF(OR(2_Analise!F24="TRABALHO",2_Analise!F24="PREVISTO"),IF(2_Analise!R24&gt;0,2_Analise!L24,2_Analise!G24),"")</f>
        <v>0.333333333333333</v>
      </c>
      <c r="D27" s="28" t="n">
        <f aca="false">IF(C27="","",IF(F27&gt;2_Analise!H24,2_Analise!H24,""))</f>
        <v>0.5</v>
      </c>
      <c r="E27" s="28" t="n">
        <f aca="false">IF(D27="","",2_Analise!I24)</f>
        <v>0.541666666666667</v>
      </c>
      <c r="F27" s="28" t="n">
        <f aca="false">IF(C27="","",IF(2_Analise!R24&gt;0,2_Analise!N24,2_Analise!J24))</f>
        <v>0.708333333333333</v>
      </c>
      <c r="G27" s="28" t="str">
        <f aca="false">IF(N(2_Analise!Y24)&gt;0,2_Analise!J24,"")</f>
        <v/>
      </c>
      <c r="H27" s="28" t="str">
        <f aca="false">IF(G27="","",ROUND((2_Analise!J24+2_Analise!Y24)*1440,0)/1440)</f>
        <v/>
      </c>
      <c r="I27" s="33" t="n">
        <f aca="false">IF(C27="","",ROUND((IF(H27&lt;&gt;"",H27,F27)-C27-IF(D27&lt;&gt;"",E27-D27,0))*1440,0)/1440)</f>
        <v>0.333333333333333</v>
      </c>
      <c r="J27" s="33" t="str">
        <f aca="false">IF(N(2_Analise!Y24)&gt;0,2_Analise!Y24,"")</f>
        <v/>
      </c>
      <c r="K27" s="17" t="str">
        <f aca="false">IF(2_Analise!F24="","",IF(2_Analise!F24="FOLGA","FOLGA",IF(2_Analise!F24="FERIADO","FERIADO",IF(2_Analise!F24="FALTA","FALTA",IF(2_Analise!X24&gt;0,IF(2_Analise!S24&gt;0,"EXTRA + COMPENSAÇÃO","COMPENSAÇÃO"),IF(2_Analise!S24&gt;0,"EXTRA",IF(2_Analise!T24&gt;0,"EXTRA A COMPENSAR",IF(2_Analise!R24&gt;0,"DESCONTO PROVÁVEL",IF(2_Analise!F24="PREVISTO","PREVISTO","NORMAL")))))))))</f>
        <v>PREVISTO</v>
      </c>
      <c r="L27" s="34"/>
      <c r="M27" s="34"/>
      <c r="N27" s="31" t="str">
        <f aca="false">IF(2_Analise!F24="","",IF(2_Analise!F24="FOLGA","FOLGA",IF(2_Analise!F24="FERIADO","FERIADO"&amp;IFERROR(" – "&amp;INDEX(Parametros!$B$35:$B$50,MATCH(A27,Parametros!$A$35:$A$50,0)),""),IF(2_Analise!F24="FALTA","FALTA: desconto de "&amp;IF(MINUTE(2_Analise!R24)=0,HOUR(2_Analise!R24)&amp;"h",HOUR(2_Analise!R24)&amp;"h"&amp;TEXT(MINUTE(2_Analise!R24),"00"))&amp;" (horário exigido não cumprido).",IF(2_Analise!P24&lt;&gt;"","CONFERIR: "&amp;2_Analise!P24&amp;". Complete a aba 1.",IF(2_Analise!R24&gt;0,"DESCONTO PROVÁVEL de "&amp;IF(MINUTE(2_Analise!R24)=0,HOUR(2_Analise!R24)&amp;"h",HOUR(2_Analise!R24)&amp;"h"&amp;TEXT(MINUTE(2_Analise!R24),"00"))&amp;": exigido "&amp;IF(MINUTE(2_Analise!K24)=0,HOUR(2_Analise!K24)&amp;"h",HOUR(2_Analise!K24)&amp;"h"&amp;TEXT(MINUTE(2_Analise!K24),"00"))&amp;", cumprido "&amp;IF(MINUTE(2_Analise!O24)=0,HOUR(2_Analise!O24)&amp;"h",HOUR(2_Analise!O24)&amp;"h"&amp;TEXT(MINUTE(2_Analise!O24),"00"))&amp;".",IF(2_Analise!X24&gt;0,IF(2_Analise!S24&gt;0,"EXTRA "&amp;IF(MINUTE(2_Analise!S24)=0,HOUR(2_Analise!S24)&amp;"h",HOUR(2_Analise!S24)&amp;"h"&amp;TEXT(MINUTE(2_Analise!S24),"00"))&amp;" e COMPENSAÇÃO DE "&amp;IF(MINUTE(2_Analise!X24)=0,HOUR(2_Analise!X24)&amp;"h",HOUR(2_Analise!X24)&amp;"h"&amp;TEXT(MINUTE(2_Analise!X24),"00"))&amp;" (horas excedentes de outros dias).","COMPENSAÇÃO DE "&amp;IF(MINUTE(2_Analise!X24)=0,HOUR(2_Analise!X24)&amp;"h",HOUR(2_Analise!X24)&amp;"h"&amp;TEXT(MINUTE(2_Analise!X24),"00"))&amp;": horas extras excedentes de outros dias, lançadas neste dia para respeitar o limite diário."),IF(AND(2_Analise!S24&gt;0,2_Analise!T24&gt;0),TEXT(A27,"dd/mm")&amp;": extras de "&amp;IF(MINUTE(2_Analise!Q24)=0,HOUR(2_Analise!Q24)&amp;"h",HOUR(2_Analise!Q24)&amp;"h"&amp;TEXT(MINUTE(2_Analise!Q24),"00"))&amp;". Lançadas "&amp;IF(MINUTE(2_Analise!S24)=0,HOUR(2_Analise!S24)&amp;"h",HOUR(2_Analise!S24)&amp;"h"&amp;TEXT(MINUTE(2_Analise!S24),"00"))&amp;" no dia (limite de "&amp;IF(MINUTE(Parametros!$B$19)=0,HOUR(Parametros!$B$19)&amp;"h",HOUR(Parametros!$B$19)&amp;"h"&amp;TEXT(MINUTE(Parametros!$B$19),"00"))&amp;") e "&amp;IF(MINUTE(2_Analise!T24)=0,HOUR(2_Analise!T24)&amp;"h",HOUR(2_Analise!T24)&amp;"h"&amp;TEXT(MINUTE(2_Analise!T24),"00"))&amp;" a compensar em outros dias.",IF(2_Analise!T24&gt;0,TEXT(A27,"dd/mm")&amp;": funcionária permaneceu em atividade até "&amp;IF(MINUTE(2_Analise!N24)=0,HOUR(2_Analise!N24)&amp;"h",HOUR(2_Analise!N24)&amp;"h"&amp;TEXT(MINUTE(2_Analise!N24),"00"))&amp;" por necessidade do serviço"&amp;IF(2_Analise!D24&lt;&gt;"",". Diretoria liberou os demais colaboradores às "&amp;IF(MINUTE(2_Analise!D24)=0,HOUR(2_Analise!D24)&amp;"h",HOUR(2_Analise!D24)&amp;"h"&amp;TEXT(MINUTE(2_Analise!D24),"00")),"")&amp;". Extras: "&amp;IF(MINUTE(2_Analise!T24)=0,HOUR(2_Analise!T24)&amp;"h",HOUR(2_Analise!T24)&amp;"h"&amp;TEXT(MINUTE(2_Analise!T24),"00"))&amp;" redistribuídas para compensação em outros dias.",IF(2_Analise!S24&gt;0,"EXTRA "&amp;IF(MINUTE(2_Analise!S24)=0,HOUR(2_Analise!S24)&amp;"h",HOUR(2_Analise!S24)&amp;"h"&amp;TEXT(MINUTE(2_Analise!S24),"00")),IF(2_Analise!F24="PREVISTO","Dia previsto: expediente normal, sem extras.","NORMAL: horário cumprido.")))))))))))</f>
        <v>Dia previsto: expediente normal, sem extras.</v>
      </c>
    </row>
    <row r="28" customFormat="false" ht="31.5" hidden="false" customHeight="true" outlineLevel="0" collapsed="false">
      <c r="A28" s="16" t="n">
        <f aca="false">2_Analise!A25</f>
        <v>46344</v>
      </c>
      <c r="B28" s="17" t="str">
        <f aca="false">2_Analise!B25</f>
        <v>Quarta-feira</v>
      </c>
      <c r="C28" s="28" t="n">
        <f aca="false">IF(OR(2_Analise!F25="TRABALHO",2_Analise!F25="PREVISTO"),IF(2_Analise!R25&gt;0,2_Analise!L25,2_Analise!G25),"")</f>
        <v>0.333333333333333</v>
      </c>
      <c r="D28" s="28" t="n">
        <f aca="false">IF(C28="","",IF(F28&gt;2_Analise!H25,2_Analise!H25,""))</f>
        <v>0.5</v>
      </c>
      <c r="E28" s="28" t="n">
        <f aca="false">IF(D28="","",2_Analise!I25)</f>
        <v>0.541666666666667</v>
      </c>
      <c r="F28" s="28" t="n">
        <f aca="false">IF(C28="","",IF(2_Analise!R25&gt;0,2_Analise!N25,2_Analise!J25))</f>
        <v>0.708333333333333</v>
      </c>
      <c r="G28" s="28" t="str">
        <f aca="false">IF(N(2_Analise!Y25)&gt;0,2_Analise!J25,"")</f>
        <v/>
      </c>
      <c r="H28" s="28" t="str">
        <f aca="false">IF(G28="","",ROUND((2_Analise!J25+2_Analise!Y25)*1440,0)/1440)</f>
        <v/>
      </c>
      <c r="I28" s="33" t="n">
        <f aca="false">IF(C28="","",ROUND((IF(H28&lt;&gt;"",H28,F28)-C28-IF(D28&lt;&gt;"",E28-D28,0))*1440,0)/1440)</f>
        <v>0.333333333333333</v>
      </c>
      <c r="J28" s="33" t="str">
        <f aca="false">IF(N(2_Analise!Y25)&gt;0,2_Analise!Y25,"")</f>
        <v/>
      </c>
      <c r="K28" s="17" t="str">
        <f aca="false">IF(2_Analise!F25="","",IF(2_Analise!F25="FOLGA","FOLGA",IF(2_Analise!F25="FERIADO","FERIADO",IF(2_Analise!F25="FALTA","FALTA",IF(2_Analise!X25&gt;0,IF(2_Analise!S25&gt;0,"EXTRA + COMPENSAÇÃO","COMPENSAÇÃO"),IF(2_Analise!S25&gt;0,"EXTRA",IF(2_Analise!T25&gt;0,"EXTRA A COMPENSAR",IF(2_Analise!R25&gt;0,"DESCONTO PROVÁVEL",IF(2_Analise!F25="PREVISTO","PREVISTO","NORMAL")))))))))</f>
        <v>PREVISTO</v>
      </c>
      <c r="L28" s="34"/>
      <c r="M28" s="34"/>
      <c r="N28" s="31" t="str">
        <f aca="false">IF(2_Analise!F25="","",IF(2_Analise!F25="FOLGA","FOLGA",IF(2_Analise!F25="FERIADO","FERIADO"&amp;IFERROR(" – "&amp;INDEX(Parametros!$B$35:$B$50,MATCH(A28,Parametros!$A$35:$A$50,0)),""),IF(2_Analise!F25="FALTA","FALTA: desconto de "&amp;IF(MINUTE(2_Analise!R25)=0,HOUR(2_Analise!R25)&amp;"h",HOUR(2_Analise!R25)&amp;"h"&amp;TEXT(MINUTE(2_Analise!R25),"00"))&amp;" (horário exigido não cumprido).",IF(2_Analise!P25&lt;&gt;"","CONFERIR: "&amp;2_Analise!P25&amp;". Complete a aba 1.",IF(2_Analise!R25&gt;0,"DESCONTO PROVÁVEL de "&amp;IF(MINUTE(2_Analise!R25)=0,HOUR(2_Analise!R25)&amp;"h",HOUR(2_Analise!R25)&amp;"h"&amp;TEXT(MINUTE(2_Analise!R25),"00"))&amp;": exigido "&amp;IF(MINUTE(2_Analise!K25)=0,HOUR(2_Analise!K25)&amp;"h",HOUR(2_Analise!K25)&amp;"h"&amp;TEXT(MINUTE(2_Analise!K25),"00"))&amp;", cumprido "&amp;IF(MINUTE(2_Analise!O25)=0,HOUR(2_Analise!O25)&amp;"h",HOUR(2_Analise!O25)&amp;"h"&amp;TEXT(MINUTE(2_Analise!O25),"00"))&amp;".",IF(2_Analise!X25&gt;0,IF(2_Analise!S25&gt;0,"EXTRA "&amp;IF(MINUTE(2_Analise!S25)=0,HOUR(2_Analise!S25)&amp;"h",HOUR(2_Analise!S25)&amp;"h"&amp;TEXT(MINUTE(2_Analise!S25),"00"))&amp;" e COMPENSAÇÃO DE "&amp;IF(MINUTE(2_Analise!X25)=0,HOUR(2_Analise!X25)&amp;"h",HOUR(2_Analise!X25)&amp;"h"&amp;TEXT(MINUTE(2_Analise!X25),"00"))&amp;" (horas excedentes de outros dias).","COMPENSAÇÃO DE "&amp;IF(MINUTE(2_Analise!X25)=0,HOUR(2_Analise!X25)&amp;"h",HOUR(2_Analise!X25)&amp;"h"&amp;TEXT(MINUTE(2_Analise!X25),"00"))&amp;": horas extras excedentes de outros dias, lançadas neste dia para respeitar o limite diário."),IF(AND(2_Analise!S25&gt;0,2_Analise!T25&gt;0),TEXT(A28,"dd/mm")&amp;": extras de "&amp;IF(MINUTE(2_Analise!Q25)=0,HOUR(2_Analise!Q25)&amp;"h",HOUR(2_Analise!Q25)&amp;"h"&amp;TEXT(MINUTE(2_Analise!Q25),"00"))&amp;". Lançadas "&amp;IF(MINUTE(2_Analise!S25)=0,HOUR(2_Analise!S25)&amp;"h",HOUR(2_Analise!S25)&amp;"h"&amp;TEXT(MINUTE(2_Analise!S25),"00"))&amp;" no dia (limite de "&amp;IF(MINUTE(Parametros!$B$19)=0,HOUR(Parametros!$B$19)&amp;"h",HOUR(Parametros!$B$19)&amp;"h"&amp;TEXT(MINUTE(Parametros!$B$19),"00"))&amp;") e "&amp;IF(MINUTE(2_Analise!T25)=0,HOUR(2_Analise!T25)&amp;"h",HOUR(2_Analise!T25)&amp;"h"&amp;TEXT(MINUTE(2_Analise!T25),"00"))&amp;" a compensar em outros dias.",IF(2_Analise!T25&gt;0,TEXT(A28,"dd/mm")&amp;": funcionária permaneceu em atividade até "&amp;IF(MINUTE(2_Analise!N25)=0,HOUR(2_Analise!N25)&amp;"h",HOUR(2_Analise!N25)&amp;"h"&amp;TEXT(MINUTE(2_Analise!N25),"00"))&amp;" por necessidade do serviço"&amp;IF(2_Analise!D25&lt;&gt;"",". Diretoria liberou os demais colaboradores às "&amp;IF(MINUTE(2_Analise!D25)=0,HOUR(2_Analise!D25)&amp;"h",HOUR(2_Analise!D25)&amp;"h"&amp;TEXT(MINUTE(2_Analise!D25),"00")),"")&amp;". Extras: "&amp;IF(MINUTE(2_Analise!T25)=0,HOUR(2_Analise!T25)&amp;"h",HOUR(2_Analise!T25)&amp;"h"&amp;TEXT(MINUTE(2_Analise!T25),"00"))&amp;" redistribuídas para compensação em outros dias.",IF(2_Analise!S25&gt;0,"EXTRA "&amp;IF(MINUTE(2_Analise!S25)=0,HOUR(2_Analise!S25)&amp;"h",HOUR(2_Analise!S25)&amp;"h"&amp;TEXT(MINUTE(2_Analise!S25),"00")),IF(2_Analise!F25="PREVISTO","Dia previsto: expediente normal, sem extras.","NORMAL: horário cumprido.")))))))))))</f>
        <v>Dia previsto: expediente normal, sem extras.</v>
      </c>
    </row>
    <row r="29" customFormat="false" ht="31.5" hidden="false" customHeight="true" outlineLevel="0" collapsed="false">
      <c r="A29" s="16" t="n">
        <f aca="false">2_Analise!A26</f>
        <v>46345</v>
      </c>
      <c r="B29" s="17" t="str">
        <f aca="false">2_Analise!B26</f>
        <v>Quinta-feira</v>
      </c>
      <c r="C29" s="28" t="n">
        <f aca="false">IF(OR(2_Analise!F26="TRABALHO",2_Analise!F26="PREVISTO"),IF(2_Analise!R26&gt;0,2_Analise!L26,2_Analise!G26),"")</f>
        <v>0.333333333333333</v>
      </c>
      <c r="D29" s="28" t="n">
        <f aca="false">IF(C29="","",IF(F29&gt;2_Analise!H26,2_Analise!H26,""))</f>
        <v>0.5</v>
      </c>
      <c r="E29" s="28" t="n">
        <f aca="false">IF(D29="","",2_Analise!I26)</f>
        <v>0.541666666666667</v>
      </c>
      <c r="F29" s="28" t="n">
        <f aca="false">IF(C29="","",IF(2_Analise!R26&gt;0,2_Analise!N26,2_Analise!J26))</f>
        <v>0.708333333333333</v>
      </c>
      <c r="G29" s="28" t="str">
        <f aca="false">IF(N(2_Analise!Y26)&gt;0,2_Analise!J26,"")</f>
        <v/>
      </c>
      <c r="H29" s="28" t="str">
        <f aca="false">IF(G29="","",ROUND((2_Analise!J26+2_Analise!Y26)*1440,0)/1440)</f>
        <v/>
      </c>
      <c r="I29" s="33" t="n">
        <f aca="false">IF(C29="","",ROUND((IF(H29&lt;&gt;"",H29,F29)-C29-IF(D29&lt;&gt;"",E29-D29,0))*1440,0)/1440)</f>
        <v>0.333333333333333</v>
      </c>
      <c r="J29" s="33" t="str">
        <f aca="false">IF(N(2_Analise!Y26)&gt;0,2_Analise!Y26,"")</f>
        <v/>
      </c>
      <c r="K29" s="17" t="str">
        <f aca="false">IF(2_Analise!F26="","",IF(2_Analise!F26="FOLGA","FOLGA",IF(2_Analise!F26="FERIADO","FERIADO",IF(2_Analise!F26="FALTA","FALTA",IF(2_Analise!X26&gt;0,IF(2_Analise!S26&gt;0,"EXTRA + COMPENSAÇÃO","COMPENSAÇÃO"),IF(2_Analise!S26&gt;0,"EXTRA",IF(2_Analise!T26&gt;0,"EXTRA A COMPENSAR",IF(2_Analise!R26&gt;0,"DESCONTO PROVÁVEL",IF(2_Analise!F26="PREVISTO","PREVISTO","NORMAL")))))))))</f>
        <v>PREVISTO</v>
      </c>
      <c r="L29" s="34"/>
      <c r="M29" s="34"/>
      <c r="N29" s="31" t="str">
        <f aca="false">IF(2_Analise!F26="","",IF(2_Analise!F26="FOLGA","FOLGA",IF(2_Analise!F26="FERIADO","FERIADO"&amp;IFERROR(" – "&amp;INDEX(Parametros!$B$35:$B$50,MATCH(A29,Parametros!$A$35:$A$50,0)),""),IF(2_Analise!F26="FALTA","FALTA: desconto de "&amp;IF(MINUTE(2_Analise!R26)=0,HOUR(2_Analise!R26)&amp;"h",HOUR(2_Analise!R26)&amp;"h"&amp;TEXT(MINUTE(2_Analise!R26),"00"))&amp;" (horário exigido não cumprido).",IF(2_Analise!P26&lt;&gt;"","CONFERIR: "&amp;2_Analise!P26&amp;". Complete a aba 1.",IF(2_Analise!R26&gt;0,"DESCONTO PROVÁVEL de "&amp;IF(MINUTE(2_Analise!R26)=0,HOUR(2_Analise!R26)&amp;"h",HOUR(2_Analise!R26)&amp;"h"&amp;TEXT(MINUTE(2_Analise!R26),"00"))&amp;": exigido "&amp;IF(MINUTE(2_Analise!K26)=0,HOUR(2_Analise!K26)&amp;"h",HOUR(2_Analise!K26)&amp;"h"&amp;TEXT(MINUTE(2_Analise!K26),"00"))&amp;", cumprido "&amp;IF(MINUTE(2_Analise!O26)=0,HOUR(2_Analise!O26)&amp;"h",HOUR(2_Analise!O26)&amp;"h"&amp;TEXT(MINUTE(2_Analise!O26),"00"))&amp;".",IF(2_Analise!X26&gt;0,IF(2_Analise!S26&gt;0,"EXTRA "&amp;IF(MINUTE(2_Analise!S26)=0,HOUR(2_Analise!S26)&amp;"h",HOUR(2_Analise!S26)&amp;"h"&amp;TEXT(MINUTE(2_Analise!S26),"00"))&amp;" e COMPENSAÇÃO DE "&amp;IF(MINUTE(2_Analise!X26)=0,HOUR(2_Analise!X26)&amp;"h",HOUR(2_Analise!X26)&amp;"h"&amp;TEXT(MINUTE(2_Analise!X26),"00"))&amp;" (horas excedentes de outros dias).","COMPENSAÇÃO DE "&amp;IF(MINUTE(2_Analise!X26)=0,HOUR(2_Analise!X26)&amp;"h",HOUR(2_Analise!X26)&amp;"h"&amp;TEXT(MINUTE(2_Analise!X26),"00"))&amp;": horas extras excedentes de outros dias, lançadas neste dia para respeitar o limite diário."),IF(AND(2_Analise!S26&gt;0,2_Analise!T26&gt;0),TEXT(A29,"dd/mm")&amp;": extras de "&amp;IF(MINUTE(2_Analise!Q26)=0,HOUR(2_Analise!Q26)&amp;"h",HOUR(2_Analise!Q26)&amp;"h"&amp;TEXT(MINUTE(2_Analise!Q26),"00"))&amp;". Lançadas "&amp;IF(MINUTE(2_Analise!S26)=0,HOUR(2_Analise!S26)&amp;"h",HOUR(2_Analise!S26)&amp;"h"&amp;TEXT(MINUTE(2_Analise!S26),"00"))&amp;" no dia (limite de "&amp;IF(MINUTE(Parametros!$B$19)=0,HOUR(Parametros!$B$19)&amp;"h",HOUR(Parametros!$B$19)&amp;"h"&amp;TEXT(MINUTE(Parametros!$B$19),"00"))&amp;") e "&amp;IF(MINUTE(2_Analise!T26)=0,HOUR(2_Analise!T26)&amp;"h",HOUR(2_Analise!T26)&amp;"h"&amp;TEXT(MINUTE(2_Analise!T26),"00"))&amp;" a compensar em outros dias.",IF(2_Analise!T26&gt;0,TEXT(A29,"dd/mm")&amp;": funcionária permaneceu em atividade até "&amp;IF(MINUTE(2_Analise!N26)=0,HOUR(2_Analise!N26)&amp;"h",HOUR(2_Analise!N26)&amp;"h"&amp;TEXT(MINUTE(2_Analise!N26),"00"))&amp;" por necessidade do serviço"&amp;IF(2_Analise!D26&lt;&gt;"",". Diretoria liberou os demais colaboradores às "&amp;IF(MINUTE(2_Analise!D26)=0,HOUR(2_Analise!D26)&amp;"h",HOUR(2_Analise!D26)&amp;"h"&amp;TEXT(MINUTE(2_Analise!D26),"00")),"")&amp;". Extras: "&amp;IF(MINUTE(2_Analise!T26)=0,HOUR(2_Analise!T26)&amp;"h",HOUR(2_Analise!T26)&amp;"h"&amp;TEXT(MINUTE(2_Analise!T26),"00"))&amp;" redistribuídas para compensação em outros dias.",IF(2_Analise!S26&gt;0,"EXTRA "&amp;IF(MINUTE(2_Analise!S26)=0,HOUR(2_Analise!S26)&amp;"h",HOUR(2_Analise!S26)&amp;"h"&amp;TEXT(MINUTE(2_Analise!S26),"00")),IF(2_Analise!F26="PREVISTO","Dia previsto: expediente normal, sem extras.","NORMAL: horário cumprido.")))))))))))</f>
        <v>Dia previsto: expediente normal, sem extras.</v>
      </c>
    </row>
    <row r="30" customFormat="false" ht="31.5" hidden="false" customHeight="true" outlineLevel="0" collapsed="false">
      <c r="A30" s="16" t="n">
        <f aca="false">2_Analise!A27</f>
        <v>46346</v>
      </c>
      <c r="B30" s="17" t="str">
        <f aca="false">2_Analise!B27</f>
        <v>Sexta-feira</v>
      </c>
      <c r="C30" s="28" t="str">
        <f aca="false">IF(OR(2_Analise!F27="TRABALHO",2_Analise!F27="PREVISTO"),IF(2_Analise!R27&gt;0,2_Analise!L27,2_Analise!G27),"")</f>
        <v/>
      </c>
      <c r="D30" s="28" t="str">
        <f aca="false">IF(C30="","",IF(F30&gt;2_Analise!H27,2_Analise!H27,""))</f>
        <v/>
      </c>
      <c r="E30" s="28" t="str">
        <f aca="false">IF(D30="","",2_Analise!I27)</f>
        <v/>
      </c>
      <c r="F30" s="28" t="str">
        <f aca="false">IF(C30="","",IF(2_Analise!R27&gt;0,2_Analise!N27,2_Analise!J27))</f>
        <v/>
      </c>
      <c r="G30" s="28" t="str">
        <f aca="false">IF(N(2_Analise!Y27)&gt;0,2_Analise!J27,"")</f>
        <v/>
      </c>
      <c r="H30" s="28" t="str">
        <f aca="false">IF(G30="","",ROUND((2_Analise!J27+2_Analise!Y27)*1440,0)/1440)</f>
        <v/>
      </c>
      <c r="I30" s="33" t="str">
        <f aca="false">IF(C30="","",ROUND((IF(H30&lt;&gt;"",H30,F30)-C30-IF(D30&lt;&gt;"",E30-D30,0))*1440,0)/1440)</f>
        <v/>
      </c>
      <c r="J30" s="33" t="str">
        <f aca="false">IF(N(2_Analise!Y27)&gt;0,2_Analise!Y27,"")</f>
        <v/>
      </c>
      <c r="K30" s="17" t="str">
        <f aca="false">IF(2_Analise!F27="","",IF(2_Analise!F27="FOLGA","FOLGA",IF(2_Analise!F27="FERIADO","FERIADO",IF(2_Analise!F27="FALTA","FALTA",IF(2_Analise!X27&gt;0,IF(2_Analise!S27&gt;0,"EXTRA + COMPENSAÇÃO","COMPENSAÇÃO"),IF(2_Analise!S27&gt;0,"EXTRA",IF(2_Analise!T27&gt;0,"EXTRA A COMPENSAR",IF(2_Analise!R27&gt;0,"DESCONTO PROVÁVEL",IF(2_Analise!F27="PREVISTO","PREVISTO","NORMAL")))))))))</f>
        <v>FERIADO</v>
      </c>
      <c r="L30" s="34"/>
      <c r="M30" s="34"/>
      <c r="N30" s="31" t="str">
        <f aca="false">IF(2_Analise!F27="","",IF(2_Analise!F27="FOLGA","FOLGA",IF(2_Analise!F27="FERIADO","FERIADO"&amp;IFERROR(" – "&amp;INDEX(Parametros!$B$35:$B$50,MATCH(A30,Parametros!$A$35:$A$50,0)),""),IF(2_Analise!F27="FALTA","FALTA: desconto de "&amp;IF(MINUTE(2_Analise!R27)=0,HOUR(2_Analise!R27)&amp;"h",HOUR(2_Analise!R27)&amp;"h"&amp;TEXT(MINUTE(2_Analise!R27),"00"))&amp;" (horário exigido não cumprido).",IF(2_Analise!P27&lt;&gt;"","CONFERIR: "&amp;2_Analise!P27&amp;". Complete a aba 1.",IF(2_Analise!R27&gt;0,"DESCONTO PROVÁVEL de "&amp;IF(MINUTE(2_Analise!R27)=0,HOUR(2_Analise!R27)&amp;"h",HOUR(2_Analise!R27)&amp;"h"&amp;TEXT(MINUTE(2_Analise!R27),"00"))&amp;": exigido "&amp;IF(MINUTE(2_Analise!K27)=0,HOUR(2_Analise!K27)&amp;"h",HOUR(2_Analise!K27)&amp;"h"&amp;TEXT(MINUTE(2_Analise!K27),"00"))&amp;", cumprido "&amp;IF(MINUTE(2_Analise!O27)=0,HOUR(2_Analise!O27)&amp;"h",HOUR(2_Analise!O27)&amp;"h"&amp;TEXT(MINUTE(2_Analise!O27),"00"))&amp;".",IF(2_Analise!X27&gt;0,IF(2_Analise!S27&gt;0,"EXTRA "&amp;IF(MINUTE(2_Analise!S27)=0,HOUR(2_Analise!S27)&amp;"h",HOUR(2_Analise!S27)&amp;"h"&amp;TEXT(MINUTE(2_Analise!S27),"00"))&amp;" e COMPENSAÇÃO DE "&amp;IF(MINUTE(2_Analise!X27)=0,HOUR(2_Analise!X27)&amp;"h",HOUR(2_Analise!X27)&amp;"h"&amp;TEXT(MINUTE(2_Analise!X27),"00"))&amp;" (horas excedentes de outros dias).","COMPENSAÇÃO DE "&amp;IF(MINUTE(2_Analise!X27)=0,HOUR(2_Analise!X27)&amp;"h",HOUR(2_Analise!X27)&amp;"h"&amp;TEXT(MINUTE(2_Analise!X27),"00"))&amp;": horas extras excedentes de outros dias, lançadas neste dia para respeitar o limite diário."),IF(AND(2_Analise!S27&gt;0,2_Analise!T27&gt;0),TEXT(A30,"dd/mm")&amp;": extras de "&amp;IF(MINUTE(2_Analise!Q27)=0,HOUR(2_Analise!Q27)&amp;"h",HOUR(2_Analise!Q27)&amp;"h"&amp;TEXT(MINUTE(2_Analise!Q27),"00"))&amp;". Lançadas "&amp;IF(MINUTE(2_Analise!S27)=0,HOUR(2_Analise!S27)&amp;"h",HOUR(2_Analise!S27)&amp;"h"&amp;TEXT(MINUTE(2_Analise!S27),"00"))&amp;" no dia (limite de "&amp;IF(MINUTE(Parametros!$B$19)=0,HOUR(Parametros!$B$19)&amp;"h",HOUR(Parametros!$B$19)&amp;"h"&amp;TEXT(MINUTE(Parametros!$B$19),"00"))&amp;") e "&amp;IF(MINUTE(2_Analise!T27)=0,HOUR(2_Analise!T27)&amp;"h",HOUR(2_Analise!T27)&amp;"h"&amp;TEXT(MINUTE(2_Analise!T27),"00"))&amp;" a compensar em outros dias.",IF(2_Analise!T27&gt;0,TEXT(A30,"dd/mm")&amp;": funcionária permaneceu em atividade até "&amp;IF(MINUTE(2_Analise!N27)=0,HOUR(2_Analise!N27)&amp;"h",HOUR(2_Analise!N27)&amp;"h"&amp;TEXT(MINUTE(2_Analise!N27),"00"))&amp;" por necessidade do serviço"&amp;IF(2_Analise!D27&lt;&gt;"",". Diretoria liberou os demais colaboradores às "&amp;IF(MINUTE(2_Analise!D27)=0,HOUR(2_Analise!D27)&amp;"h",HOUR(2_Analise!D27)&amp;"h"&amp;TEXT(MINUTE(2_Analise!D27),"00")),"")&amp;". Extras: "&amp;IF(MINUTE(2_Analise!T27)=0,HOUR(2_Analise!T27)&amp;"h",HOUR(2_Analise!T27)&amp;"h"&amp;TEXT(MINUTE(2_Analise!T27),"00"))&amp;" redistribuídas para compensação em outros dias.",IF(2_Analise!S27&gt;0,"EXTRA "&amp;IF(MINUTE(2_Analise!S27)=0,HOUR(2_Analise!S27)&amp;"h",HOUR(2_Analise!S27)&amp;"h"&amp;TEXT(MINUTE(2_Analise!S27),"00")),IF(2_Analise!F27="PREVISTO","Dia previsto: expediente normal, sem extras.","NORMAL: horário cumprido.")))))))))))</f>
        <v>FERIADO – Consciência Negra</v>
      </c>
    </row>
    <row r="31" customFormat="false" ht="31.5" hidden="false" customHeight="true" outlineLevel="0" collapsed="false">
      <c r="A31" s="16" t="n">
        <f aca="false">2_Analise!A28</f>
        <v>46347</v>
      </c>
      <c r="B31" s="17" t="str">
        <f aca="false">2_Analise!B28</f>
        <v>Sábado</v>
      </c>
      <c r="C31" s="28" t="str">
        <f aca="false">IF(OR(2_Analise!F28="TRABALHO",2_Analise!F28="PREVISTO"),IF(2_Analise!R28&gt;0,2_Analise!L28,2_Analise!G28),"")</f>
        <v/>
      </c>
      <c r="D31" s="28" t="str">
        <f aca="false">IF(C31="","",IF(F31&gt;2_Analise!H28,2_Analise!H28,""))</f>
        <v/>
      </c>
      <c r="E31" s="28" t="str">
        <f aca="false">IF(D31="","",2_Analise!I28)</f>
        <v/>
      </c>
      <c r="F31" s="28" t="str">
        <f aca="false">IF(C31="","",IF(2_Analise!R28&gt;0,2_Analise!N28,2_Analise!J28))</f>
        <v/>
      </c>
      <c r="G31" s="28" t="str">
        <f aca="false">IF(N(2_Analise!Y28)&gt;0,2_Analise!J28,"")</f>
        <v/>
      </c>
      <c r="H31" s="28" t="str">
        <f aca="false">IF(G31="","",ROUND((2_Analise!J28+2_Analise!Y28)*1440,0)/1440)</f>
        <v/>
      </c>
      <c r="I31" s="33" t="str">
        <f aca="false">IF(C31="","",ROUND((IF(H31&lt;&gt;"",H31,F31)-C31-IF(D31&lt;&gt;"",E31-D31,0))*1440,0)/1440)</f>
        <v/>
      </c>
      <c r="J31" s="33" t="str">
        <f aca="false">IF(N(2_Analise!Y28)&gt;0,2_Analise!Y28,"")</f>
        <v/>
      </c>
      <c r="K31" s="17" t="str">
        <f aca="false">IF(2_Analise!F28="","",IF(2_Analise!F28="FOLGA","FOLGA",IF(2_Analise!F28="FERIADO","FERIADO",IF(2_Analise!F28="FALTA","FALTA",IF(2_Analise!X28&gt;0,IF(2_Analise!S28&gt;0,"EXTRA + COMPENSAÇÃO","COMPENSAÇÃO"),IF(2_Analise!S28&gt;0,"EXTRA",IF(2_Analise!T28&gt;0,"EXTRA A COMPENSAR",IF(2_Analise!R28&gt;0,"DESCONTO PROVÁVEL",IF(2_Analise!F28="PREVISTO","PREVISTO","NORMAL")))))))))</f>
        <v>FOLGA</v>
      </c>
      <c r="L31" s="34"/>
      <c r="M31" s="34"/>
      <c r="N31" s="31" t="str">
        <f aca="false">IF(2_Analise!F28="","",IF(2_Analise!F28="FOLGA","FOLGA",IF(2_Analise!F28="FERIADO","FERIADO"&amp;IFERROR(" – "&amp;INDEX(Parametros!$B$35:$B$50,MATCH(A31,Parametros!$A$35:$A$50,0)),""),IF(2_Analise!F28="FALTA","FALTA: desconto de "&amp;IF(MINUTE(2_Analise!R28)=0,HOUR(2_Analise!R28)&amp;"h",HOUR(2_Analise!R28)&amp;"h"&amp;TEXT(MINUTE(2_Analise!R28),"00"))&amp;" (horário exigido não cumprido).",IF(2_Analise!P28&lt;&gt;"","CONFERIR: "&amp;2_Analise!P28&amp;". Complete a aba 1.",IF(2_Analise!R28&gt;0,"DESCONTO PROVÁVEL de "&amp;IF(MINUTE(2_Analise!R28)=0,HOUR(2_Analise!R28)&amp;"h",HOUR(2_Analise!R28)&amp;"h"&amp;TEXT(MINUTE(2_Analise!R28),"00"))&amp;": exigido "&amp;IF(MINUTE(2_Analise!K28)=0,HOUR(2_Analise!K28)&amp;"h",HOUR(2_Analise!K28)&amp;"h"&amp;TEXT(MINUTE(2_Analise!K28),"00"))&amp;", cumprido "&amp;IF(MINUTE(2_Analise!O28)=0,HOUR(2_Analise!O28)&amp;"h",HOUR(2_Analise!O28)&amp;"h"&amp;TEXT(MINUTE(2_Analise!O28),"00"))&amp;".",IF(2_Analise!X28&gt;0,IF(2_Analise!S28&gt;0,"EXTRA "&amp;IF(MINUTE(2_Analise!S28)=0,HOUR(2_Analise!S28)&amp;"h",HOUR(2_Analise!S28)&amp;"h"&amp;TEXT(MINUTE(2_Analise!S28),"00"))&amp;" e COMPENSAÇÃO DE "&amp;IF(MINUTE(2_Analise!X28)=0,HOUR(2_Analise!X28)&amp;"h",HOUR(2_Analise!X28)&amp;"h"&amp;TEXT(MINUTE(2_Analise!X28),"00"))&amp;" (horas excedentes de outros dias).","COMPENSAÇÃO DE "&amp;IF(MINUTE(2_Analise!X28)=0,HOUR(2_Analise!X28)&amp;"h",HOUR(2_Analise!X28)&amp;"h"&amp;TEXT(MINUTE(2_Analise!X28),"00"))&amp;": horas extras excedentes de outros dias, lançadas neste dia para respeitar o limite diário."),IF(AND(2_Analise!S28&gt;0,2_Analise!T28&gt;0),TEXT(A31,"dd/mm")&amp;": extras de "&amp;IF(MINUTE(2_Analise!Q28)=0,HOUR(2_Analise!Q28)&amp;"h",HOUR(2_Analise!Q28)&amp;"h"&amp;TEXT(MINUTE(2_Analise!Q28),"00"))&amp;". Lançadas "&amp;IF(MINUTE(2_Analise!S28)=0,HOUR(2_Analise!S28)&amp;"h",HOUR(2_Analise!S28)&amp;"h"&amp;TEXT(MINUTE(2_Analise!S28),"00"))&amp;" no dia (limite de "&amp;IF(MINUTE(Parametros!$B$19)=0,HOUR(Parametros!$B$19)&amp;"h",HOUR(Parametros!$B$19)&amp;"h"&amp;TEXT(MINUTE(Parametros!$B$19),"00"))&amp;") e "&amp;IF(MINUTE(2_Analise!T28)=0,HOUR(2_Analise!T28)&amp;"h",HOUR(2_Analise!T28)&amp;"h"&amp;TEXT(MINUTE(2_Analise!T28),"00"))&amp;" a compensar em outros dias.",IF(2_Analise!T28&gt;0,TEXT(A31,"dd/mm")&amp;": funcionária permaneceu em atividade até "&amp;IF(MINUTE(2_Analise!N28)=0,HOUR(2_Analise!N28)&amp;"h",HOUR(2_Analise!N28)&amp;"h"&amp;TEXT(MINUTE(2_Analise!N28),"00"))&amp;" por necessidade do serviço"&amp;IF(2_Analise!D28&lt;&gt;"",". Diretoria liberou os demais colaboradores às "&amp;IF(MINUTE(2_Analise!D28)=0,HOUR(2_Analise!D28)&amp;"h",HOUR(2_Analise!D28)&amp;"h"&amp;TEXT(MINUTE(2_Analise!D28),"00")),"")&amp;". Extras: "&amp;IF(MINUTE(2_Analise!T28)=0,HOUR(2_Analise!T28)&amp;"h",HOUR(2_Analise!T28)&amp;"h"&amp;TEXT(MINUTE(2_Analise!T28),"00"))&amp;" redistribuídas para compensação em outros dias.",IF(2_Analise!S28&gt;0,"EXTRA "&amp;IF(MINUTE(2_Analise!S28)=0,HOUR(2_Analise!S28)&amp;"h",HOUR(2_Analise!S28)&amp;"h"&amp;TEXT(MINUTE(2_Analise!S28),"00")),IF(2_Analise!F28="PREVISTO","Dia previsto: expediente normal, sem extras.","NORMAL: horário cumprido.")))))))))))</f>
        <v>FOLGA</v>
      </c>
    </row>
    <row r="32" customFormat="false" ht="31.5" hidden="false" customHeight="true" outlineLevel="0" collapsed="false">
      <c r="A32" s="16" t="n">
        <f aca="false">2_Analise!A29</f>
        <v>46348</v>
      </c>
      <c r="B32" s="17" t="str">
        <f aca="false">2_Analise!B29</f>
        <v>Domingo</v>
      </c>
      <c r="C32" s="28" t="str">
        <f aca="false">IF(OR(2_Analise!F29="TRABALHO",2_Analise!F29="PREVISTO"),IF(2_Analise!R29&gt;0,2_Analise!L29,2_Analise!G29),"")</f>
        <v/>
      </c>
      <c r="D32" s="28" t="str">
        <f aca="false">IF(C32="","",IF(F32&gt;2_Analise!H29,2_Analise!H29,""))</f>
        <v/>
      </c>
      <c r="E32" s="28" t="str">
        <f aca="false">IF(D32="","",2_Analise!I29)</f>
        <v/>
      </c>
      <c r="F32" s="28" t="str">
        <f aca="false">IF(C32="","",IF(2_Analise!R29&gt;0,2_Analise!N29,2_Analise!J29))</f>
        <v/>
      </c>
      <c r="G32" s="28" t="str">
        <f aca="false">IF(N(2_Analise!Y29)&gt;0,2_Analise!J29,"")</f>
        <v/>
      </c>
      <c r="H32" s="28" t="str">
        <f aca="false">IF(G32="","",ROUND((2_Analise!J29+2_Analise!Y29)*1440,0)/1440)</f>
        <v/>
      </c>
      <c r="I32" s="33" t="str">
        <f aca="false">IF(C32="","",ROUND((IF(H32&lt;&gt;"",H32,F32)-C32-IF(D32&lt;&gt;"",E32-D32,0))*1440,0)/1440)</f>
        <v/>
      </c>
      <c r="J32" s="33" t="str">
        <f aca="false">IF(N(2_Analise!Y29)&gt;0,2_Analise!Y29,"")</f>
        <v/>
      </c>
      <c r="K32" s="17" t="str">
        <f aca="false">IF(2_Analise!F29="","",IF(2_Analise!F29="FOLGA","FOLGA",IF(2_Analise!F29="FERIADO","FERIADO",IF(2_Analise!F29="FALTA","FALTA",IF(2_Analise!X29&gt;0,IF(2_Analise!S29&gt;0,"EXTRA + COMPENSAÇÃO","COMPENSAÇÃO"),IF(2_Analise!S29&gt;0,"EXTRA",IF(2_Analise!T29&gt;0,"EXTRA A COMPENSAR",IF(2_Analise!R29&gt;0,"DESCONTO PROVÁVEL",IF(2_Analise!F29="PREVISTO","PREVISTO","NORMAL")))))))))</f>
        <v>FOLGA</v>
      </c>
      <c r="L32" s="34"/>
      <c r="M32" s="34"/>
      <c r="N32" s="31" t="str">
        <f aca="false">IF(2_Analise!F29="","",IF(2_Analise!F29="FOLGA","FOLGA",IF(2_Analise!F29="FERIADO","FERIADO"&amp;IFERROR(" – "&amp;INDEX(Parametros!$B$35:$B$50,MATCH(A32,Parametros!$A$35:$A$50,0)),""),IF(2_Analise!F29="FALTA","FALTA: desconto de "&amp;IF(MINUTE(2_Analise!R29)=0,HOUR(2_Analise!R29)&amp;"h",HOUR(2_Analise!R29)&amp;"h"&amp;TEXT(MINUTE(2_Analise!R29),"00"))&amp;" (horário exigido não cumprido).",IF(2_Analise!P29&lt;&gt;"","CONFERIR: "&amp;2_Analise!P29&amp;". Complete a aba 1.",IF(2_Analise!R29&gt;0,"DESCONTO PROVÁVEL de "&amp;IF(MINUTE(2_Analise!R29)=0,HOUR(2_Analise!R29)&amp;"h",HOUR(2_Analise!R29)&amp;"h"&amp;TEXT(MINUTE(2_Analise!R29),"00"))&amp;": exigido "&amp;IF(MINUTE(2_Analise!K29)=0,HOUR(2_Analise!K29)&amp;"h",HOUR(2_Analise!K29)&amp;"h"&amp;TEXT(MINUTE(2_Analise!K29),"00"))&amp;", cumprido "&amp;IF(MINUTE(2_Analise!O29)=0,HOUR(2_Analise!O29)&amp;"h",HOUR(2_Analise!O29)&amp;"h"&amp;TEXT(MINUTE(2_Analise!O29),"00"))&amp;".",IF(2_Analise!X29&gt;0,IF(2_Analise!S29&gt;0,"EXTRA "&amp;IF(MINUTE(2_Analise!S29)=0,HOUR(2_Analise!S29)&amp;"h",HOUR(2_Analise!S29)&amp;"h"&amp;TEXT(MINUTE(2_Analise!S29),"00"))&amp;" e COMPENSAÇÃO DE "&amp;IF(MINUTE(2_Analise!X29)=0,HOUR(2_Analise!X29)&amp;"h",HOUR(2_Analise!X29)&amp;"h"&amp;TEXT(MINUTE(2_Analise!X29),"00"))&amp;" (horas excedentes de outros dias).","COMPENSAÇÃO DE "&amp;IF(MINUTE(2_Analise!X29)=0,HOUR(2_Analise!X29)&amp;"h",HOUR(2_Analise!X29)&amp;"h"&amp;TEXT(MINUTE(2_Analise!X29),"00"))&amp;": horas extras excedentes de outros dias, lançadas neste dia para respeitar o limite diário."),IF(AND(2_Analise!S29&gt;0,2_Analise!T29&gt;0),TEXT(A32,"dd/mm")&amp;": extras de "&amp;IF(MINUTE(2_Analise!Q29)=0,HOUR(2_Analise!Q29)&amp;"h",HOUR(2_Analise!Q29)&amp;"h"&amp;TEXT(MINUTE(2_Analise!Q29),"00"))&amp;". Lançadas "&amp;IF(MINUTE(2_Analise!S29)=0,HOUR(2_Analise!S29)&amp;"h",HOUR(2_Analise!S29)&amp;"h"&amp;TEXT(MINUTE(2_Analise!S29),"00"))&amp;" no dia (limite de "&amp;IF(MINUTE(Parametros!$B$19)=0,HOUR(Parametros!$B$19)&amp;"h",HOUR(Parametros!$B$19)&amp;"h"&amp;TEXT(MINUTE(Parametros!$B$19),"00"))&amp;") e "&amp;IF(MINUTE(2_Analise!T29)=0,HOUR(2_Analise!T29)&amp;"h",HOUR(2_Analise!T29)&amp;"h"&amp;TEXT(MINUTE(2_Analise!T29),"00"))&amp;" a compensar em outros dias.",IF(2_Analise!T29&gt;0,TEXT(A32,"dd/mm")&amp;": funcionária permaneceu em atividade até "&amp;IF(MINUTE(2_Analise!N29)=0,HOUR(2_Analise!N29)&amp;"h",HOUR(2_Analise!N29)&amp;"h"&amp;TEXT(MINUTE(2_Analise!N29),"00"))&amp;" por necessidade do serviço"&amp;IF(2_Analise!D29&lt;&gt;"",". Diretoria liberou os demais colaboradores às "&amp;IF(MINUTE(2_Analise!D29)=0,HOUR(2_Analise!D29)&amp;"h",HOUR(2_Analise!D29)&amp;"h"&amp;TEXT(MINUTE(2_Analise!D29),"00")),"")&amp;". Extras: "&amp;IF(MINUTE(2_Analise!T29)=0,HOUR(2_Analise!T29)&amp;"h",HOUR(2_Analise!T29)&amp;"h"&amp;TEXT(MINUTE(2_Analise!T29),"00"))&amp;" redistribuídas para compensação em outros dias.",IF(2_Analise!S29&gt;0,"EXTRA "&amp;IF(MINUTE(2_Analise!S29)=0,HOUR(2_Analise!S29)&amp;"h",HOUR(2_Analise!S29)&amp;"h"&amp;TEXT(MINUTE(2_Analise!S29),"00")),IF(2_Analise!F29="PREVISTO","Dia previsto: expediente normal, sem extras.","NORMAL: horário cumprido.")))))))))))</f>
        <v>FOLGA</v>
      </c>
    </row>
    <row r="33" customFormat="false" ht="31.5" hidden="false" customHeight="true" outlineLevel="0" collapsed="false">
      <c r="A33" s="16" t="n">
        <f aca="false">2_Analise!A30</f>
        <v>46349</v>
      </c>
      <c r="B33" s="17" t="str">
        <f aca="false">2_Analise!B30</f>
        <v>Segunda-feira</v>
      </c>
      <c r="C33" s="28" t="n">
        <f aca="false">IF(OR(2_Analise!F30="TRABALHO",2_Analise!F30="PREVISTO"),IF(2_Analise!R30&gt;0,2_Analise!L30,2_Analise!G30),"")</f>
        <v>0.333333333333333</v>
      </c>
      <c r="D33" s="28" t="n">
        <f aca="false">IF(C33="","",IF(F33&gt;2_Analise!H30,2_Analise!H30,""))</f>
        <v>0.5</v>
      </c>
      <c r="E33" s="28" t="n">
        <f aca="false">IF(D33="","",2_Analise!I30)</f>
        <v>0.541666666666667</v>
      </c>
      <c r="F33" s="28" t="n">
        <f aca="false">IF(C33="","",IF(2_Analise!R30&gt;0,2_Analise!N30,2_Analise!J30))</f>
        <v>0.708333333333333</v>
      </c>
      <c r="G33" s="28" t="str">
        <f aca="false">IF(N(2_Analise!Y30)&gt;0,2_Analise!J30,"")</f>
        <v/>
      </c>
      <c r="H33" s="28" t="str">
        <f aca="false">IF(G33="","",ROUND((2_Analise!J30+2_Analise!Y30)*1440,0)/1440)</f>
        <v/>
      </c>
      <c r="I33" s="33" t="n">
        <f aca="false">IF(C33="","",ROUND((IF(H33&lt;&gt;"",H33,F33)-C33-IF(D33&lt;&gt;"",E33-D33,0))*1440,0)/1440)</f>
        <v>0.333333333333333</v>
      </c>
      <c r="J33" s="33" t="str">
        <f aca="false">IF(N(2_Analise!Y30)&gt;0,2_Analise!Y30,"")</f>
        <v/>
      </c>
      <c r="K33" s="17" t="str">
        <f aca="false">IF(2_Analise!F30="","",IF(2_Analise!F30="FOLGA","FOLGA",IF(2_Analise!F30="FERIADO","FERIADO",IF(2_Analise!F30="FALTA","FALTA",IF(2_Analise!X30&gt;0,IF(2_Analise!S30&gt;0,"EXTRA + COMPENSAÇÃO","COMPENSAÇÃO"),IF(2_Analise!S30&gt;0,"EXTRA",IF(2_Analise!T30&gt;0,"EXTRA A COMPENSAR",IF(2_Analise!R30&gt;0,"DESCONTO PROVÁVEL",IF(2_Analise!F30="PREVISTO","PREVISTO","NORMAL")))))))))</f>
        <v>PREVISTO</v>
      </c>
      <c r="L33" s="34"/>
      <c r="M33" s="34"/>
      <c r="N33" s="31" t="str">
        <f aca="false">IF(2_Analise!F30="","",IF(2_Analise!F30="FOLGA","FOLGA",IF(2_Analise!F30="FERIADO","FERIADO"&amp;IFERROR(" – "&amp;INDEX(Parametros!$B$35:$B$50,MATCH(A33,Parametros!$A$35:$A$50,0)),""),IF(2_Analise!F30="FALTA","FALTA: desconto de "&amp;IF(MINUTE(2_Analise!R30)=0,HOUR(2_Analise!R30)&amp;"h",HOUR(2_Analise!R30)&amp;"h"&amp;TEXT(MINUTE(2_Analise!R30),"00"))&amp;" (horário exigido não cumprido).",IF(2_Analise!P30&lt;&gt;"","CONFERIR: "&amp;2_Analise!P30&amp;". Complete a aba 1.",IF(2_Analise!R30&gt;0,"DESCONTO PROVÁVEL de "&amp;IF(MINUTE(2_Analise!R30)=0,HOUR(2_Analise!R30)&amp;"h",HOUR(2_Analise!R30)&amp;"h"&amp;TEXT(MINUTE(2_Analise!R30),"00"))&amp;": exigido "&amp;IF(MINUTE(2_Analise!K30)=0,HOUR(2_Analise!K30)&amp;"h",HOUR(2_Analise!K30)&amp;"h"&amp;TEXT(MINUTE(2_Analise!K30),"00"))&amp;", cumprido "&amp;IF(MINUTE(2_Analise!O30)=0,HOUR(2_Analise!O30)&amp;"h",HOUR(2_Analise!O30)&amp;"h"&amp;TEXT(MINUTE(2_Analise!O30),"00"))&amp;".",IF(2_Analise!X30&gt;0,IF(2_Analise!S30&gt;0,"EXTRA "&amp;IF(MINUTE(2_Analise!S30)=0,HOUR(2_Analise!S30)&amp;"h",HOUR(2_Analise!S30)&amp;"h"&amp;TEXT(MINUTE(2_Analise!S30),"00"))&amp;" e COMPENSAÇÃO DE "&amp;IF(MINUTE(2_Analise!X30)=0,HOUR(2_Analise!X30)&amp;"h",HOUR(2_Analise!X30)&amp;"h"&amp;TEXT(MINUTE(2_Analise!X30),"00"))&amp;" (horas excedentes de outros dias).","COMPENSAÇÃO DE "&amp;IF(MINUTE(2_Analise!X30)=0,HOUR(2_Analise!X30)&amp;"h",HOUR(2_Analise!X30)&amp;"h"&amp;TEXT(MINUTE(2_Analise!X30),"00"))&amp;": horas extras excedentes de outros dias, lançadas neste dia para respeitar o limite diário."),IF(AND(2_Analise!S30&gt;0,2_Analise!T30&gt;0),TEXT(A33,"dd/mm")&amp;": extras de "&amp;IF(MINUTE(2_Analise!Q30)=0,HOUR(2_Analise!Q30)&amp;"h",HOUR(2_Analise!Q30)&amp;"h"&amp;TEXT(MINUTE(2_Analise!Q30),"00"))&amp;". Lançadas "&amp;IF(MINUTE(2_Analise!S30)=0,HOUR(2_Analise!S30)&amp;"h",HOUR(2_Analise!S30)&amp;"h"&amp;TEXT(MINUTE(2_Analise!S30),"00"))&amp;" no dia (limite de "&amp;IF(MINUTE(Parametros!$B$19)=0,HOUR(Parametros!$B$19)&amp;"h",HOUR(Parametros!$B$19)&amp;"h"&amp;TEXT(MINUTE(Parametros!$B$19),"00"))&amp;") e "&amp;IF(MINUTE(2_Analise!T30)=0,HOUR(2_Analise!T30)&amp;"h",HOUR(2_Analise!T30)&amp;"h"&amp;TEXT(MINUTE(2_Analise!T30),"00"))&amp;" a compensar em outros dias.",IF(2_Analise!T30&gt;0,TEXT(A33,"dd/mm")&amp;": funcionária permaneceu em atividade até "&amp;IF(MINUTE(2_Analise!N30)=0,HOUR(2_Analise!N30)&amp;"h",HOUR(2_Analise!N30)&amp;"h"&amp;TEXT(MINUTE(2_Analise!N30),"00"))&amp;" por necessidade do serviço"&amp;IF(2_Analise!D30&lt;&gt;"",". Diretoria liberou os demais colaboradores às "&amp;IF(MINUTE(2_Analise!D30)=0,HOUR(2_Analise!D30)&amp;"h",HOUR(2_Analise!D30)&amp;"h"&amp;TEXT(MINUTE(2_Analise!D30),"00")),"")&amp;". Extras: "&amp;IF(MINUTE(2_Analise!T30)=0,HOUR(2_Analise!T30)&amp;"h",HOUR(2_Analise!T30)&amp;"h"&amp;TEXT(MINUTE(2_Analise!T30),"00"))&amp;" redistribuídas para compensação em outros dias.",IF(2_Analise!S30&gt;0,"EXTRA "&amp;IF(MINUTE(2_Analise!S30)=0,HOUR(2_Analise!S30)&amp;"h",HOUR(2_Analise!S30)&amp;"h"&amp;TEXT(MINUTE(2_Analise!S30),"00")),IF(2_Analise!F30="PREVISTO","Dia previsto: expediente normal, sem extras.","NORMAL: horário cumprido.")))))))))))</f>
        <v>Dia previsto: expediente normal, sem extras.</v>
      </c>
    </row>
    <row r="34" customFormat="false" ht="31.5" hidden="false" customHeight="true" outlineLevel="0" collapsed="false">
      <c r="A34" s="16" t="n">
        <f aca="false">2_Analise!A31</f>
        <v>46350</v>
      </c>
      <c r="B34" s="17" t="str">
        <f aca="false">2_Analise!B31</f>
        <v>Terça-feira</v>
      </c>
      <c r="C34" s="28" t="n">
        <f aca="false">IF(OR(2_Analise!F31="TRABALHO",2_Analise!F31="PREVISTO"),IF(2_Analise!R31&gt;0,2_Analise!L31,2_Analise!G31),"")</f>
        <v>0.333333333333333</v>
      </c>
      <c r="D34" s="28" t="n">
        <f aca="false">IF(C34="","",IF(F34&gt;2_Analise!H31,2_Analise!H31,""))</f>
        <v>0.5</v>
      </c>
      <c r="E34" s="28" t="n">
        <f aca="false">IF(D34="","",2_Analise!I31)</f>
        <v>0.541666666666667</v>
      </c>
      <c r="F34" s="28" t="n">
        <f aca="false">IF(C34="","",IF(2_Analise!R31&gt;0,2_Analise!N31,2_Analise!J31))</f>
        <v>0.708333333333333</v>
      </c>
      <c r="G34" s="28" t="str">
        <f aca="false">IF(N(2_Analise!Y31)&gt;0,2_Analise!J31,"")</f>
        <v/>
      </c>
      <c r="H34" s="28" t="str">
        <f aca="false">IF(G34="","",ROUND((2_Analise!J31+2_Analise!Y31)*1440,0)/1440)</f>
        <v/>
      </c>
      <c r="I34" s="33" t="n">
        <f aca="false">IF(C34="","",ROUND((IF(H34&lt;&gt;"",H34,F34)-C34-IF(D34&lt;&gt;"",E34-D34,0))*1440,0)/1440)</f>
        <v>0.333333333333333</v>
      </c>
      <c r="J34" s="33" t="str">
        <f aca="false">IF(N(2_Analise!Y31)&gt;0,2_Analise!Y31,"")</f>
        <v/>
      </c>
      <c r="K34" s="17" t="str">
        <f aca="false">IF(2_Analise!F31="","",IF(2_Analise!F31="FOLGA","FOLGA",IF(2_Analise!F31="FERIADO","FERIADO",IF(2_Analise!F31="FALTA","FALTA",IF(2_Analise!X31&gt;0,IF(2_Analise!S31&gt;0,"EXTRA + COMPENSAÇÃO","COMPENSAÇÃO"),IF(2_Analise!S31&gt;0,"EXTRA",IF(2_Analise!T31&gt;0,"EXTRA A COMPENSAR",IF(2_Analise!R31&gt;0,"DESCONTO PROVÁVEL",IF(2_Analise!F31="PREVISTO","PREVISTO","NORMAL")))))))))</f>
        <v>PREVISTO</v>
      </c>
      <c r="L34" s="34"/>
      <c r="M34" s="34"/>
      <c r="N34" s="31" t="str">
        <f aca="false">IF(2_Analise!F31="","",IF(2_Analise!F31="FOLGA","FOLGA",IF(2_Analise!F31="FERIADO","FERIADO"&amp;IFERROR(" – "&amp;INDEX(Parametros!$B$35:$B$50,MATCH(A34,Parametros!$A$35:$A$50,0)),""),IF(2_Analise!F31="FALTA","FALTA: desconto de "&amp;IF(MINUTE(2_Analise!R31)=0,HOUR(2_Analise!R31)&amp;"h",HOUR(2_Analise!R31)&amp;"h"&amp;TEXT(MINUTE(2_Analise!R31),"00"))&amp;" (horário exigido não cumprido).",IF(2_Analise!P31&lt;&gt;"","CONFERIR: "&amp;2_Analise!P31&amp;". Complete a aba 1.",IF(2_Analise!R31&gt;0,"DESCONTO PROVÁVEL de "&amp;IF(MINUTE(2_Analise!R31)=0,HOUR(2_Analise!R31)&amp;"h",HOUR(2_Analise!R31)&amp;"h"&amp;TEXT(MINUTE(2_Analise!R31),"00"))&amp;": exigido "&amp;IF(MINUTE(2_Analise!K31)=0,HOUR(2_Analise!K31)&amp;"h",HOUR(2_Analise!K31)&amp;"h"&amp;TEXT(MINUTE(2_Analise!K31),"00"))&amp;", cumprido "&amp;IF(MINUTE(2_Analise!O31)=0,HOUR(2_Analise!O31)&amp;"h",HOUR(2_Analise!O31)&amp;"h"&amp;TEXT(MINUTE(2_Analise!O31),"00"))&amp;".",IF(2_Analise!X31&gt;0,IF(2_Analise!S31&gt;0,"EXTRA "&amp;IF(MINUTE(2_Analise!S31)=0,HOUR(2_Analise!S31)&amp;"h",HOUR(2_Analise!S31)&amp;"h"&amp;TEXT(MINUTE(2_Analise!S31),"00"))&amp;" e COMPENSAÇÃO DE "&amp;IF(MINUTE(2_Analise!X31)=0,HOUR(2_Analise!X31)&amp;"h",HOUR(2_Analise!X31)&amp;"h"&amp;TEXT(MINUTE(2_Analise!X31),"00"))&amp;" (horas excedentes de outros dias).","COMPENSAÇÃO DE "&amp;IF(MINUTE(2_Analise!X31)=0,HOUR(2_Analise!X31)&amp;"h",HOUR(2_Analise!X31)&amp;"h"&amp;TEXT(MINUTE(2_Analise!X31),"00"))&amp;": horas extras excedentes de outros dias, lançadas neste dia para respeitar o limite diário."),IF(AND(2_Analise!S31&gt;0,2_Analise!T31&gt;0),TEXT(A34,"dd/mm")&amp;": extras de "&amp;IF(MINUTE(2_Analise!Q31)=0,HOUR(2_Analise!Q31)&amp;"h",HOUR(2_Analise!Q31)&amp;"h"&amp;TEXT(MINUTE(2_Analise!Q31),"00"))&amp;". Lançadas "&amp;IF(MINUTE(2_Analise!S31)=0,HOUR(2_Analise!S31)&amp;"h",HOUR(2_Analise!S31)&amp;"h"&amp;TEXT(MINUTE(2_Analise!S31),"00"))&amp;" no dia (limite de "&amp;IF(MINUTE(Parametros!$B$19)=0,HOUR(Parametros!$B$19)&amp;"h",HOUR(Parametros!$B$19)&amp;"h"&amp;TEXT(MINUTE(Parametros!$B$19),"00"))&amp;") e "&amp;IF(MINUTE(2_Analise!T31)=0,HOUR(2_Analise!T31)&amp;"h",HOUR(2_Analise!T31)&amp;"h"&amp;TEXT(MINUTE(2_Analise!T31),"00"))&amp;" a compensar em outros dias.",IF(2_Analise!T31&gt;0,TEXT(A34,"dd/mm")&amp;": funcionária permaneceu em atividade até "&amp;IF(MINUTE(2_Analise!N31)=0,HOUR(2_Analise!N31)&amp;"h",HOUR(2_Analise!N31)&amp;"h"&amp;TEXT(MINUTE(2_Analise!N31),"00"))&amp;" por necessidade do serviço"&amp;IF(2_Analise!D31&lt;&gt;"",". Diretoria liberou os demais colaboradores às "&amp;IF(MINUTE(2_Analise!D31)=0,HOUR(2_Analise!D31)&amp;"h",HOUR(2_Analise!D31)&amp;"h"&amp;TEXT(MINUTE(2_Analise!D31),"00")),"")&amp;". Extras: "&amp;IF(MINUTE(2_Analise!T31)=0,HOUR(2_Analise!T31)&amp;"h",HOUR(2_Analise!T31)&amp;"h"&amp;TEXT(MINUTE(2_Analise!T31),"00"))&amp;" redistribuídas para compensação em outros dias.",IF(2_Analise!S31&gt;0,"EXTRA "&amp;IF(MINUTE(2_Analise!S31)=0,HOUR(2_Analise!S31)&amp;"h",HOUR(2_Analise!S31)&amp;"h"&amp;TEXT(MINUTE(2_Analise!S31),"00")),IF(2_Analise!F31="PREVISTO","Dia previsto: expediente normal, sem extras.","NORMAL: horário cumprido.")))))))))))</f>
        <v>Dia previsto: expediente normal, sem extras.</v>
      </c>
    </row>
    <row r="35" customFormat="false" ht="31.5" hidden="false" customHeight="true" outlineLevel="0" collapsed="false">
      <c r="A35" s="16" t="n">
        <f aca="false">2_Analise!A32</f>
        <v>46351</v>
      </c>
      <c r="B35" s="17" t="str">
        <f aca="false">2_Analise!B32</f>
        <v>Quarta-feira</v>
      </c>
      <c r="C35" s="28" t="n">
        <f aca="false">IF(OR(2_Analise!F32="TRABALHO",2_Analise!F32="PREVISTO"),IF(2_Analise!R32&gt;0,2_Analise!L32,2_Analise!G32),"")</f>
        <v>0.333333333333333</v>
      </c>
      <c r="D35" s="28" t="n">
        <f aca="false">IF(C35="","",IF(F35&gt;2_Analise!H32,2_Analise!H32,""))</f>
        <v>0.5</v>
      </c>
      <c r="E35" s="28" t="n">
        <f aca="false">IF(D35="","",2_Analise!I32)</f>
        <v>0.541666666666667</v>
      </c>
      <c r="F35" s="28" t="n">
        <f aca="false">IF(C35="","",IF(2_Analise!R32&gt;0,2_Analise!N32,2_Analise!J32))</f>
        <v>0.708333333333333</v>
      </c>
      <c r="G35" s="28" t="str">
        <f aca="false">IF(N(2_Analise!Y32)&gt;0,2_Analise!J32,"")</f>
        <v/>
      </c>
      <c r="H35" s="28" t="str">
        <f aca="false">IF(G35="","",ROUND((2_Analise!J32+2_Analise!Y32)*1440,0)/1440)</f>
        <v/>
      </c>
      <c r="I35" s="33" t="n">
        <f aca="false">IF(C35="","",ROUND((IF(H35&lt;&gt;"",H35,F35)-C35-IF(D35&lt;&gt;"",E35-D35,0))*1440,0)/1440)</f>
        <v>0.333333333333333</v>
      </c>
      <c r="J35" s="33" t="str">
        <f aca="false">IF(N(2_Analise!Y32)&gt;0,2_Analise!Y32,"")</f>
        <v/>
      </c>
      <c r="K35" s="17" t="str">
        <f aca="false">IF(2_Analise!F32="","",IF(2_Analise!F32="FOLGA","FOLGA",IF(2_Analise!F32="FERIADO","FERIADO",IF(2_Analise!F32="FALTA","FALTA",IF(2_Analise!X32&gt;0,IF(2_Analise!S32&gt;0,"EXTRA + COMPENSAÇÃO","COMPENSAÇÃO"),IF(2_Analise!S32&gt;0,"EXTRA",IF(2_Analise!T32&gt;0,"EXTRA A COMPENSAR",IF(2_Analise!R32&gt;0,"DESCONTO PROVÁVEL",IF(2_Analise!F32="PREVISTO","PREVISTO","NORMAL")))))))))</f>
        <v>PREVISTO</v>
      </c>
      <c r="L35" s="34"/>
      <c r="M35" s="34"/>
      <c r="N35" s="31" t="str">
        <f aca="false">IF(2_Analise!F32="","",IF(2_Analise!F32="FOLGA","FOLGA",IF(2_Analise!F32="FERIADO","FERIADO"&amp;IFERROR(" – "&amp;INDEX(Parametros!$B$35:$B$50,MATCH(A35,Parametros!$A$35:$A$50,0)),""),IF(2_Analise!F32="FALTA","FALTA: desconto de "&amp;IF(MINUTE(2_Analise!R32)=0,HOUR(2_Analise!R32)&amp;"h",HOUR(2_Analise!R32)&amp;"h"&amp;TEXT(MINUTE(2_Analise!R32),"00"))&amp;" (horário exigido não cumprido).",IF(2_Analise!P32&lt;&gt;"","CONFERIR: "&amp;2_Analise!P32&amp;". Complete a aba 1.",IF(2_Analise!R32&gt;0,"DESCONTO PROVÁVEL de "&amp;IF(MINUTE(2_Analise!R32)=0,HOUR(2_Analise!R32)&amp;"h",HOUR(2_Analise!R32)&amp;"h"&amp;TEXT(MINUTE(2_Analise!R32),"00"))&amp;": exigido "&amp;IF(MINUTE(2_Analise!K32)=0,HOUR(2_Analise!K32)&amp;"h",HOUR(2_Analise!K32)&amp;"h"&amp;TEXT(MINUTE(2_Analise!K32),"00"))&amp;", cumprido "&amp;IF(MINUTE(2_Analise!O32)=0,HOUR(2_Analise!O32)&amp;"h",HOUR(2_Analise!O32)&amp;"h"&amp;TEXT(MINUTE(2_Analise!O32),"00"))&amp;".",IF(2_Analise!X32&gt;0,IF(2_Analise!S32&gt;0,"EXTRA "&amp;IF(MINUTE(2_Analise!S32)=0,HOUR(2_Analise!S32)&amp;"h",HOUR(2_Analise!S32)&amp;"h"&amp;TEXT(MINUTE(2_Analise!S32),"00"))&amp;" e COMPENSAÇÃO DE "&amp;IF(MINUTE(2_Analise!X32)=0,HOUR(2_Analise!X32)&amp;"h",HOUR(2_Analise!X32)&amp;"h"&amp;TEXT(MINUTE(2_Analise!X32),"00"))&amp;" (horas excedentes de outros dias).","COMPENSAÇÃO DE "&amp;IF(MINUTE(2_Analise!X32)=0,HOUR(2_Analise!X32)&amp;"h",HOUR(2_Analise!X32)&amp;"h"&amp;TEXT(MINUTE(2_Analise!X32),"00"))&amp;": horas extras excedentes de outros dias, lançadas neste dia para respeitar o limite diário."),IF(AND(2_Analise!S32&gt;0,2_Analise!T32&gt;0),TEXT(A35,"dd/mm")&amp;": extras de "&amp;IF(MINUTE(2_Analise!Q32)=0,HOUR(2_Analise!Q32)&amp;"h",HOUR(2_Analise!Q32)&amp;"h"&amp;TEXT(MINUTE(2_Analise!Q32),"00"))&amp;". Lançadas "&amp;IF(MINUTE(2_Analise!S32)=0,HOUR(2_Analise!S32)&amp;"h",HOUR(2_Analise!S32)&amp;"h"&amp;TEXT(MINUTE(2_Analise!S32),"00"))&amp;" no dia (limite de "&amp;IF(MINUTE(Parametros!$B$19)=0,HOUR(Parametros!$B$19)&amp;"h",HOUR(Parametros!$B$19)&amp;"h"&amp;TEXT(MINUTE(Parametros!$B$19),"00"))&amp;") e "&amp;IF(MINUTE(2_Analise!T32)=0,HOUR(2_Analise!T32)&amp;"h",HOUR(2_Analise!T32)&amp;"h"&amp;TEXT(MINUTE(2_Analise!T32),"00"))&amp;" a compensar em outros dias.",IF(2_Analise!T32&gt;0,TEXT(A35,"dd/mm")&amp;": funcionária permaneceu em atividade até "&amp;IF(MINUTE(2_Analise!N32)=0,HOUR(2_Analise!N32)&amp;"h",HOUR(2_Analise!N32)&amp;"h"&amp;TEXT(MINUTE(2_Analise!N32),"00"))&amp;" por necessidade do serviço"&amp;IF(2_Analise!D32&lt;&gt;"",". Diretoria liberou os demais colaboradores às "&amp;IF(MINUTE(2_Analise!D32)=0,HOUR(2_Analise!D32)&amp;"h",HOUR(2_Analise!D32)&amp;"h"&amp;TEXT(MINUTE(2_Analise!D32),"00")),"")&amp;". Extras: "&amp;IF(MINUTE(2_Analise!T32)=0,HOUR(2_Analise!T32)&amp;"h",HOUR(2_Analise!T32)&amp;"h"&amp;TEXT(MINUTE(2_Analise!T32),"00"))&amp;" redistribuídas para compensação em outros dias.",IF(2_Analise!S32&gt;0,"EXTRA "&amp;IF(MINUTE(2_Analise!S32)=0,HOUR(2_Analise!S32)&amp;"h",HOUR(2_Analise!S32)&amp;"h"&amp;TEXT(MINUTE(2_Analise!S32),"00")),IF(2_Analise!F32="PREVISTO","Dia previsto: expediente normal, sem extras.","NORMAL: horário cumprido.")))))))))))</f>
        <v>Dia previsto: expediente normal, sem extras.</v>
      </c>
    </row>
    <row r="36" customFormat="false" ht="31.5" hidden="false" customHeight="true" outlineLevel="0" collapsed="false">
      <c r="A36" s="16" t="n">
        <f aca="false">2_Analise!A33</f>
        <v>46352</v>
      </c>
      <c r="B36" s="17" t="str">
        <f aca="false">2_Analise!B33</f>
        <v>Quinta-feira</v>
      </c>
      <c r="C36" s="28" t="n">
        <f aca="false">IF(OR(2_Analise!F33="TRABALHO",2_Analise!F33="PREVISTO"),IF(2_Analise!R33&gt;0,2_Analise!L33,2_Analise!G33),"")</f>
        <v>0.333333333333333</v>
      </c>
      <c r="D36" s="28" t="n">
        <f aca="false">IF(C36="","",IF(F36&gt;2_Analise!H33,2_Analise!H33,""))</f>
        <v>0.5</v>
      </c>
      <c r="E36" s="28" t="n">
        <f aca="false">IF(D36="","",2_Analise!I33)</f>
        <v>0.541666666666667</v>
      </c>
      <c r="F36" s="28" t="n">
        <f aca="false">IF(C36="","",IF(2_Analise!R33&gt;0,2_Analise!N33,2_Analise!J33))</f>
        <v>0.708333333333333</v>
      </c>
      <c r="G36" s="28" t="str">
        <f aca="false">IF(N(2_Analise!Y33)&gt;0,2_Analise!J33,"")</f>
        <v/>
      </c>
      <c r="H36" s="28" t="str">
        <f aca="false">IF(G36="","",ROUND((2_Analise!J33+2_Analise!Y33)*1440,0)/1440)</f>
        <v/>
      </c>
      <c r="I36" s="33" t="n">
        <f aca="false">IF(C36="","",ROUND((IF(H36&lt;&gt;"",H36,F36)-C36-IF(D36&lt;&gt;"",E36-D36,0))*1440,0)/1440)</f>
        <v>0.333333333333333</v>
      </c>
      <c r="J36" s="33" t="str">
        <f aca="false">IF(N(2_Analise!Y33)&gt;0,2_Analise!Y33,"")</f>
        <v/>
      </c>
      <c r="K36" s="17" t="str">
        <f aca="false">IF(2_Analise!F33="","",IF(2_Analise!F33="FOLGA","FOLGA",IF(2_Analise!F33="FERIADO","FERIADO",IF(2_Analise!F33="FALTA","FALTA",IF(2_Analise!X33&gt;0,IF(2_Analise!S33&gt;0,"EXTRA + COMPENSAÇÃO","COMPENSAÇÃO"),IF(2_Analise!S33&gt;0,"EXTRA",IF(2_Analise!T33&gt;0,"EXTRA A COMPENSAR",IF(2_Analise!R33&gt;0,"DESCONTO PROVÁVEL",IF(2_Analise!F33="PREVISTO","PREVISTO","NORMAL")))))))))</f>
        <v>PREVISTO</v>
      </c>
      <c r="L36" s="34"/>
      <c r="M36" s="34"/>
      <c r="N36" s="31" t="str">
        <f aca="false">IF(2_Analise!F33="","",IF(2_Analise!F33="FOLGA","FOLGA",IF(2_Analise!F33="FERIADO","FERIADO"&amp;IFERROR(" – "&amp;INDEX(Parametros!$B$35:$B$50,MATCH(A36,Parametros!$A$35:$A$50,0)),""),IF(2_Analise!F33="FALTA","FALTA: desconto de "&amp;IF(MINUTE(2_Analise!R33)=0,HOUR(2_Analise!R33)&amp;"h",HOUR(2_Analise!R33)&amp;"h"&amp;TEXT(MINUTE(2_Analise!R33),"00"))&amp;" (horário exigido não cumprido).",IF(2_Analise!P33&lt;&gt;"","CONFERIR: "&amp;2_Analise!P33&amp;". Complete a aba 1.",IF(2_Analise!R33&gt;0,"DESCONTO PROVÁVEL de "&amp;IF(MINUTE(2_Analise!R33)=0,HOUR(2_Analise!R33)&amp;"h",HOUR(2_Analise!R33)&amp;"h"&amp;TEXT(MINUTE(2_Analise!R33),"00"))&amp;": exigido "&amp;IF(MINUTE(2_Analise!K33)=0,HOUR(2_Analise!K33)&amp;"h",HOUR(2_Analise!K33)&amp;"h"&amp;TEXT(MINUTE(2_Analise!K33),"00"))&amp;", cumprido "&amp;IF(MINUTE(2_Analise!O33)=0,HOUR(2_Analise!O33)&amp;"h",HOUR(2_Analise!O33)&amp;"h"&amp;TEXT(MINUTE(2_Analise!O33),"00"))&amp;".",IF(2_Analise!X33&gt;0,IF(2_Analise!S33&gt;0,"EXTRA "&amp;IF(MINUTE(2_Analise!S33)=0,HOUR(2_Analise!S33)&amp;"h",HOUR(2_Analise!S33)&amp;"h"&amp;TEXT(MINUTE(2_Analise!S33),"00"))&amp;" e COMPENSAÇÃO DE "&amp;IF(MINUTE(2_Analise!X33)=0,HOUR(2_Analise!X33)&amp;"h",HOUR(2_Analise!X33)&amp;"h"&amp;TEXT(MINUTE(2_Analise!X33),"00"))&amp;" (horas excedentes de outros dias).","COMPENSAÇÃO DE "&amp;IF(MINUTE(2_Analise!X33)=0,HOUR(2_Analise!X33)&amp;"h",HOUR(2_Analise!X33)&amp;"h"&amp;TEXT(MINUTE(2_Analise!X33),"00"))&amp;": horas extras excedentes de outros dias, lançadas neste dia para respeitar o limite diário."),IF(AND(2_Analise!S33&gt;0,2_Analise!T33&gt;0),TEXT(A36,"dd/mm")&amp;": extras de "&amp;IF(MINUTE(2_Analise!Q33)=0,HOUR(2_Analise!Q33)&amp;"h",HOUR(2_Analise!Q33)&amp;"h"&amp;TEXT(MINUTE(2_Analise!Q33),"00"))&amp;". Lançadas "&amp;IF(MINUTE(2_Analise!S33)=0,HOUR(2_Analise!S33)&amp;"h",HOUR(2_Analise!S33)&amp;"h"&amp;TEXT(MINUTE(2_Analise!S33),"00"))&amp;" no dia (limite de "&amp;IF(MINUTE(Parametros!$B$19)=0,HOUR(Parametros!$B$19)&amp;"h",HOUR(Parametros!$B$19)&amp;"h"&amp;TEXT(MINUTE(Parametros!$B$19),"00"))&amp;") e "&amp;IF(MINUTE(2_Analise!T33)=0,HOUR(2_Analise!T33)&amp;"h",HOUR(2_Analise!T33)&amp;"h"&amp;TEXT(MINUTE(2_Analise!T33),"00"))&amp;" a compensar em outros dias.",IF(2_Analise!T33&gt;0,TEXT(A36,"dd/mm")&amp;": funcionária permaneceu em atividade até "&amp;IF(MINUTE(2_Analise!N33)=0,HOUR(2_Analise!N33)&amp;"h",HOUR(2_Analise!N33)&amp;"h"&amp;TEXT(MINUTE(2_Analise!N33),"00"))&amp;" por necessidade do serviço"&amp;IF(2_Analise!D33&lt;&gt;"",". Diretoria liberou os demais colaboradores às "&amp;IF(MINUTE(2_Analise!D33)=0,HOUR(2_Analise!D33)&amp;"h",HOUR(2_Analise!D33)&amp;"h"&amp;TEXT(MINUTE(2_Analise!D33),"00")),"")&amp;". Extras: "&amp;IF(MINUTE(2_Analise!T33)=0,HOUR(2_Analise!T33)&amp;"h",HOUR(2_Analise!T33)&amp;"h"&amp;TEXT(MINUTE(2_Analise!T33),"00"))&amp;" redistribuídas para compensação em outros dias.",IF(2_Analise!S33&gt;0,"EXTRA "&amp;IF(MINUTE(2_Analise!S33)=0,HOUR(2_Analise!S33)&amp;"h",HOUR(2_Analise!S33)&amp;"h"&amp;TEXT(MINUTE(2_Analise!S33),"00")),IF(2_Analise!F33="PREVISTO","Dia previsto: expediente normal, sem extras.","NORMAL: horário cumprido.")))))))))))</f>
        <v>Dia previsto: expediente normal, sem extras.</v>
      </c>
    </row>
    <row r="37" customFormat="false" ht="31.5" hidden="false" customHeight="true" outlineLevel="0" collapsed="false">
      <c r="A37" s="16" t="n">
        <f aca="false">2_Analise!A34</f>
        <v>46353</v>
      </c>
      <c r="B37" s="17" t="str">
        <f aca="false">2_Analise!B34</f>
        <v>Sexta-feira</v>
      </c>
      <c r="C37" s="28" t="n">
        <f aca="false">IF(OR(2_Analise!F34="TRABALHO",2_Analise!F34="PREVISTO"),IF(2_Analise!R34&gt;0,2_Analise!L34,2_Analise!G34),"")</f>
        <v>0.333333333333333</v>
      </c>
      <c r="D37" s="28" t="n">
        <f aca="false">IF(C37="","",IF(F37&gt;2_Analise!H34,2_Analise!H34,""))</f>
        <v>0.5</v>
      </c>
      <c r="E37" s="28" t="n">
        <f aca="false">IF(D37="","",2_Analise!I34)</f>
        <v>0.541666666666667</v>
      </c>
      <c r="F37" s="28" t="n">
        <f aca="false">IF(C37="","",IF(2_Analise!R34&gt;0,2_Analise!N34,2_Analise!J34))</f>
        <v>0.708333333333333</v>
      </c>
      <c r="G37" s="28" t="str">
        <f aca="false">IF(N(2_Analise!Y34)&gt;0,2_Analise!J34,"")</f>
        <v/>
      </c>
      <c r="H37" s="28" t="str">
        <f aca="false">IF(G37="","",ROUND((2_Analise!J34+2_Analise!Y34)*1440,0)/1440)</f>
        <v/>
      </c>
      <c r="I37" s="33" t="n">
        <f aca="false">IF(C37="","",ROUND((IF(H37&lt;&gt;"",H37,F37)-C37-IF(D37&lt;&gt;"",E37-D37,0))*1440,0)/1440)</f>
        <v>0.333333333333333</v>
      </c>
      <c r="J37" s="33" t="str">
        <f aca="false">IF(N(2_Analise!Y34)&gt;0,2_Analise!Y34,"")</f>
        <v/>
      </c>
      <c r="K37" s="17" t="str">
        <f aca="false">IF(2_Analise!F34="","",IF(2_Analise!F34="FOLGA","FOLGA",IF(2_Analise!F34="FERIADO","FERIADO",IF(2_Analise!F34="FALTA","FALTA",IF(2_Analise!X34&gt;0,IF(2_Analise!S34&gt;0,"EXTRA + COMPENSAÇÃO","COMPENSAÇÃO"),IF(2_Analise!S34&gt;0,"EXTRA",IF(2_Analise!T34&gt;0,"EXTRA A COMPENSAR",IF(2_Analise!R34&gt;0,"DESCONTO PROVÁVEL",IF(2_Analise!F34="PREVISTO","PREVISTO","NORMAL")))))))))</f>
        <v>PREVISTO</v>
      </c>
      <c r="L37" s="34"/>
      <c r="M37" s="34"/>
      <c r="N37" s="31" t="str">
        <f aca="false">IF(2_Analise!F34="","",IF(2_Analise!F34="FOLGA","FOLGA",IF(2_Analise!F34="FERIADO","FERIADO"&amp;IFERROR(" – "&amp;INDEX(Parametros!$B$35:$B$50,MATCH(A37,Parametros!$A$35:$A$50,0)),""),IF(2_Analise!F34="FALTA","FALTA: desconto de "&amp;IF(MINUTE(2_Analise!R34)=0,HOUR(2_Analise!R34)&amp;"h",HOUR(2_Analise!R34)&amp;"h"&amp;TEXT(MINUTE(2_Analise!R34),"00"))&amp;" (horário exigido não cumprido).",IF(2_Analise!P34&lt;&gt;"","CONFERIR: "&amp;2_Analise!P34&amp;". Complete a aba 1.",IF(2_Analise!R34&gt;0,"DESCONTO PROVÁVEL de "&amp;IF(MINUTE(2_Analise!R34)=0,HOUR(2_Analise!R34)&amp;"h",HOUR(2_Analise!R34)&amp;"h"&amp;TEXT(MINUTE(2_Analise!R34),"00"))&amp;": exigido "&amp;IF(MINUTE(2_Analise!K34)=0,HOUR(2_Analise!K34)&amp;"h",HOUR(2_Analise!K34)&amp;"h"&amp;TEXT(MINUTE(2_Analise!K34),"00"))&amp;", cumprido "&amp;IF(MINUTE(2_Analise!O34)=0,HOUR(2_Analise!O34)&amp;"h",HOUR(2_Analise!O34)&amp;"h"&amp;TEXT(MINUTE(2_Analise!O34),"00"))&amp;".",IF(2_Analise!X34&gt;0,IF(2_Analise!S34&gt;0,"EXTRA "&amp;IF(MINUTE(2_Analise!S34)=0,HOUR(2_Analise!S34)&amp;"h",HOUR(2_Analise!S34)&amp;"h"&amp;TEXT(MINUTE(2_Analise!S34),"00"))&amp;" e COMPENSAÇÃO DE "&amp;IF(MINUTE(2_Analise!X34)=0,HOUR(2_Analise!X34)&amp;"h",HOUR(2_Analise!X34)&amp;"h"&amp;TEXT(MINUTE(2_Analise!X34),"00"))&amp;" (horas excedentes de outros dias).","COMPENSAÇÃO DE "&amp;IF(MINUTE(2_Analise!X34)=0,HOUR(2_Analise!X34)&amp;"h",HOUR(2_Analise!X34)&amp;"h"&amp;TEXT(MINUTE(2_Analise!X34),"00"))&amp;": horas extras excedentes de outros dias, lançadas neste dia para respeitar o limite diário."),IF(AND(2_Analise!S34&gt;0,2_Analise!T34&gt;0),TEXT(A37,"dd/mm")&amp;": extras de "&amp;IF(MINUTE(2_Analise!Q34)=0,HOUR(2_Analise!Q34)&amp;"h",HOUR(2_Analise!Q34)&amp;"h"&amp;TEXT(MINUTE(2_Analise!Q34),"00"))&amp;". Lançadas "&amp;IF(MINUTE(2_Analise!S34)=0,HOUR(2_Analise!S34)&amp;"h",HOUR(2_Analise!S34)&amp;"h"&amp;TEXT(MINUTE(2_Analise!S34),"00"))&amp;" no dia (limite de "&amp;IF(MINUTE(Parametros!$B$19)=0,HOUR(Parametros!$B$19)&amp;"h",HOUR(Parametros!$B$19)&amp;"h"&amp;TEXT(MINUTE(Parametros!$B$19),"00"))&amp;") e "&amp;IF(MINUTE(2_Analise!T34)=0,HOUR(2_Analise!T34)&amp;"h",HOUR(2_Analise!T34)&amp;"h"&amp;TEXT(MINUTE(2_Analise!T34),"00"))&amp;" a compensar em outros dias.",IF(2_Analise!T34&gt;0,TEXT(A37,"dd/mm")&amp;": funcionária permaneceu em atividade até "&amp;IF(MINUTE(2_Analise!N34)=0,HOUR(2_Analise!N34)&amp;"h",HOUR(2_Analise!N34)&amp;"h"&amp;TEXT(MINUTE(2_Analise!N34),"00"))&amp;" por necessidade do serviço"&amp;IF(2_Analise!D34&lt;&gt;"",". Diretoria liberou os demais colaboradores às "&amp;IF(MINUTE(2_Analise!D34)=0,HOUR(2_Analise!D34)&amp;"h",HOUR(2_Analise!D34)&amp;"h"&amp;TEXT(MINUTE(2_Analise!D34),"00")),"")&amp;". Extras: "&amp;IF(MINUTE(2_Analise!T34)=0,HOUR(2_Analise!T34)&amp;"h",HOUR(2_Analise!T34)&amp;"h"&amp;TEXT(MINUTE(2_Analise!T34),"00"))&amp;" redistribuídas para compensação em outros dias.",IF(2_Analise!S34&gt;0,"EXTRA "&amp;IF(MINUTE(2_Analise!S34)=0,HOUR(2_Analise!S34)&amp;"h",HOUR(2_Analise!S34)&amp;"h"&amp;TEXT(MINUTE(2_Analise!S34),"00")),IF(2_Analise!F34="PREVISTO","Dia previsto: expediente normal, sem extras.","NORMAL: horário cumprido.")))))))))))</f>
        <v>Dia previsto: expediente normal, sem extras.</v>
      </c>
    </row>
    <row r="38" customFormat="false" ht="31.5" hidden="false" customHeight="true" outlineLevel="0" collapsed="false">
      <c r="A38" s="16" t="n">
        <f aca="false">2_Analise!A35</f>
        <v>46354</v>
      </c>
      <c r="B38" s="17" t="str">
        <f aca="false">2_Analise!B35</f>
        <v>Sábado</v>
      </c>
      <c r="C38" s="28" t="str">
        <f aca="false">IF(OR(2_Analise!F35="TRABALHO",2_Analise!F35="PREVISTO"),IF(2_Analise!R35&gt;0,2_Analise!L35,2_Analise!G35),"")</f>
        <v/>
      </c>
      <c r="D38" s="28" t="str">
        <f aca="false">IF(C38="","",IF(F38&gt;2_Analise!H35,2_Analise!H35,""))</f>
        <v/>
      </c>
      <c r="E38" s="28" t="str">
        <f aca="false">IF(D38="","",2_Analise!I35)</f>
        <v/>
      </c>
      <c r="F38" s="28" t="str">
        <f aca="false">IF(C38="","",IF(2_Analise!R35&gt;0,2_Analise!N35,2_Analise!J35))</f>
        <v/>
      </c>
      <c r="G38" s="28" t="str">
        <f aca="false">IF(N(2_Analise!Y35)&gt;0,2_Analise!J35,"")</f>
        <v/>
      </c>
      <c r="H38" s="28" t="str">
        <f aca="false">IF(G38="","",ROUND((2_Analise!J35+2_Analise!Y35)*1440,0)/1440)</f>
        <v/>
      </c>
      <c r="I38" s="33" t="str">
        <f aca="false">IF(C38="","",ROUND((IF(H38&lt;&gt;"",H38,F38)-C38-IF(D38&lt;&gt;"",E38-D38,0))*1440,0)/1440)</f>
        <v/>
      </c>
      <c r="J38" s="33" t="str">
        <f aca="false">IF(N(2_Analise!Y35)&gt;0,2_Analise!Y35,"")</f>
        <v/>
      </c>
      <c r="K38" s="17" t="str">
        <f aca="false">IF(2_Analise!F35="","",IF(2_Analise!F35="FOLGA","FOLGA",IF(2_Analise!F35="FERIADO","FERIADO",IF(2_Analise!F35="FALTA","FALTA",IF(2_Analise!X35&gt;0,IF(2_Analise!S35&gt;0,"EXTRA + COMPENSAÇÃO","COMPENSAÇÃO"),IF(2_Analise!S35&gt;0,"EXTRA",IF(2_Analise!T35&gt;0,"EXTRA A COMPENSAR",IF(2_Analise!R35&gt;0,"DESCONTO PROVÁVEL",IF(2_Analise!F35="PREVISTO","PREVISTO","NORMAL")))))))))</f>
        <v>FOLGA</v>
      </c>
      <c r="L38" s="34"/>
      <c r="M38" s="34"/>
      <c r="N38" s="31" t="str">
        <f aca="false">IF(2_Analise!F35="","",IF(2_Analise!F35="FOLGA","FOLGA",IF(2_Analise!F35="FERIADO","FERIADO"&amp;IFERROR(" – "&amp;INDEX(Parametros!$B$35:$B$50,MATCH(A38,Parametros!$A$35:$A$50,0)),""),IF(2_Analise!F35="FALTA","FALTA: desconto de "&amp;IF(MINUTE(2_Analise!R35)=0,HOUR(2_Analise!R35)&amp;"h",HOUR(2_Analise!R35)&amp;"h"&amp;TEXT(MINUTE(2_Analise!R35),"00"))&amp;" (horário exigido não cumprido).",IF(2_Analise!P35&lt;&gt;"","CONFERIR: "&amp;2_Analise!P35&amp;". Complete a aba 1.",IF(2_Analise!R35&gt;0,"DESCONTO PROVÁVEL de "&amp;IF(MINUTE(2_Analise!R35)=0,HOUR(2_Analise!R35)&amp;"h",HOUR(2_Analise!R35)&amp;"h"&amp;TEXT(MINUTE(2_Analise!R35),"00"))&amp;": exigido "&amp;IF(MINUTE(2_Analise!K35)=0,HOUR(2_Analise!K35)&amp;"h",HOUR(2_Analise!K35)&amp;"h"&amp;TEXT(MINUTE(2_Analise!K35),"00"))&amp;", cumprido "&amp;IF(MINUTE(2_Analise!O35)=0,HOUR(2_Analise!O35)&amp;"h",HOUR(2_Analise!O35)&amp;"h"&amp;TEXT(MINUTE(2_Analise!O35),"00"))&amp;".",IF(2_Analise!X35&gt;0,IF(2_Analise!S35&gt;0,"EXTRA "&amp;IF(MINUTE(2_Analise!S35)=0,HOUR(2_Analise!S35)&amp;"h",HOUR(2_Analise!S35)&amp;"h"&amp;TEXT(MINUTE(2_Analise!S35),"00"))&amp;" e COMPENSAÇÃO DE "&amp;IF(MINUTE(2_Analise!X35)=0,HOUR(2_Analise!X35)&amp;"h",HOUR(2_Analise!X35)&amp;"h"&amp;TEXT(MINUTE(2_Analise!X35),"00"))&amp;" (horas excedentes de outros dias).","COMPENSAÇÃO DE "&amp;IF(MINUTE(2_Analise!X35)=0,HOUR(2_Analise!X35)&amp;"h",HOUR(2_Analise!X35)&amp;"h"&amp;TEXT(MINUTE(2_Analise!X35),"00"))&amp;": horas extras excedentes de outros dias, lançadas neste dia para respeitar o limite diário."),IF(AND(2_Analise!S35&gt;0,2_Analise!T35&gt;0),TEXT(A38,"dd/mm")&amp;": extras de "&amp;IF(MINUTE(2_Analise!Q35)=0,HOUR(2_Analise!Q35)&amp;"h",HOUR(2_Analise!Q35)&amp;"h"&amp;TEXT(MINUTE(2_Analise!Q35),"00"))&amp;". Lançadas "&amp;IF(MINUTE(2_Analise!S35)=0,HOUR(2_Analise!S35)&amp;"h",HOUR(2_Analise!S35)&amp;"h"&amp;TEXT(MINUTE(2_Analise!S35),"00"))&amp;" no dia (limite de "&amp;IF(MINUTE(Parametros!$B$19)=0,HOUR(Parametros!$B$19)&amp;"h",HOUR(Parametros!$B$19)&amp;"h"&amp;TEXT(MINUTE(Parametros!$B$19),"00"))&amp;") e "&amp;IF(MINUTE(2_Analise!T35)=0,HOUR(2_Analise!T35)&amp;"h",HOUR(2_Analise!T35)&amp;"h"&amp;TEXT(MINUTE(2_Analise!T35),"00"))&amp;" a compensar em outros dias.",IF(2_Analise!T35&gt;0,TEXT(A38,"dd/mm")&amp;": funcionária permaneceu em atividade até "&amp;IF(MINUTE(2_Analise!N35)=0,HOUR(2_Analise!N35)&amp;"h",HOUR(2_Analise!N35)&amp;"h"&amp;TEXT(MINUTE(2_Analise!N35),"00"))&amp;" por necessidade do serviço"&amp;IF(2_Analise!D35&lt;&gt;"",". Diretoria liberou os demais colaboradores às "&amp;IF(MINUTE(2_Analise!D35)=0,HOUR(2_Analise!D35)&amp;"h",HOUR(2_Analise!D35)&amp;"h"&amp;TEXT(MINUTE(2_Analise!D35),"00")),"")&amp;". Extras: "&amp;IF(MINUTE(2_Analise!T35)=0,HOUR(2_Analise!T35)&amp;"h",HOUR(2_Analise!T35)&amp;"h"&amp;TEXT(MINUTE(2_Analise!T35),"00"))&amp;" redistribuídas para compensação em outros dias.",IF(2_Analise!S35&gt;0,"EXTRA "&amp;IF(MINUTE(2_Analise!S35)=0,HOUR(2_Analise!S35)&amp;"h",HOUR(2_Analise!S35)&amp;"h"&amp;TEXT(MINUTE(2_Analise!S35),"00")),IF(2_Analise!F35="PREVISTO","Dia previsto: expediente normal, sem extras.","NORMAL: horário cumprido.")))))))))))</f>
        <v>FOLGA</v>
      </c>
    </row>
    <row r="39" customFormat="false" ht="31.5" hidden="false" customHeight="true" outlineLevel="0" collapsed="false">
      <c r="A39" s="16" t="n">
        <f aca="false">2_Analise!A36</f>
        <v>46355</v>
      </c>
      <c r="B39" s="17" t="str">
        <f aca="false">2_Analise!B36</f>
        <v>Domingo</v>
      </c>
      <c r="C39" s="28" t="str">
        <f aca="false">IF(OR(2_Analise!F36="TRABALHO",2_Analise!F36="PREVISTO"),IF(2_Analise!R36&gt;0,2_Analise!L36,2_Analise!G36),"")</f>
        <v/>
      </c>
      <c r="D39" s="28" t="str">
        <f aca="false">IF(C39="","",IF(F39&gt;2_Analise!H36,2_Analise!H36,""))</f>
        <v/>
      </c>
      <c r="E39" s="28" t="str">
        <f aca="false">IF(D39="","",2_Analise!I36)</f>
        <v/>
      </c>
      <c r="F39" s="28" t="str">
        <f aca="false">IF(C39="","",IF(2_Analise!R36&gt;0,2_Analise!N36,2_Analise!J36))</f>
        <v/>
      </c>
      <c r="G39" s="28" t="str">
        <f aca="false">IF(N(2_Analise!Y36)&gt;0,2_Analise!J36,"")</f>
        <v/>
      </c>
      <c r="H39" s="28" t="str">
        <f aca="false">IF(G39="","",ROUND((2_Analise!J36+2_Analise!Y36)*1440,0)/1440)</f>
        <v/>
      </c>
      <c r="I39" s="33" t="str">
        <f aca="false">IF(C39="","",ROUND((IF(H39&lt;&gt;"",H39,F39)-C39-IF(D39&lt;&gt;"",E39-D39,0))*1440,0)/1440)</f>
        <v/>
      </c>
      <c r="J39" s="33" t="str">
        <f aca="false">IF(N(2_Analise!Y36)&gt;0,2_Analise!Y36,"")</f>
        <v/>
      </c>
      <c r="K39" s="17" t="str">
        <f aca="false">IF(2_Analise!F36="","",IF(2_Analise!F36="FOLGA","FOLGA",IF(2_Analise!F36="FERIADO","FERIADO",IF(2_Analise!F36="FALTA","FALTA",IF(2_Analise!X36&gt;0,IF(2_Analise!S36&gt;0,"EXTRA + COMPENSAÇÃO","COMPENSAÇÃO"),IF(2_Analise!S36&gt;0,"EXTRA",IF(2_Analise!T36&gt;0,"EXTRA A COMPENSAR",IF(2_Analise!R36&gt;0,"DESCONTO PROVÁVEL",IF(2_Analise!F36="PREVISTO","PREVISTO","NORMAL")))))))))</f>
        <v>FOLGA</v>
      </c>
      <c r="L39" s="34"/>
      <c r="M39" s="34"/>
      <c r="N39" s="31" t="str">
        <f aca="false">IF(2_Analise!F36="","",IF(2_Analise!F36="FOLGA","FOLGA",IF(2_Analise!F36="FERIADO","FERIADO"&amp;IFERROR(" – "&amp;INDEX(Parametros!$B$35:$B$50,MATCH(A39,Parametros!$A$35:$A$50,0)),""),IF(2_Analise!F36="FALTA","FALTA: desconto de "&amp;IF(MINUTE(2_Analise!R36)=0,HOUR(2_Analise!R36)&amp;"h",HOUR(2_Analise!R36)&amp;"h"&amp;TEXT(MINUTE(2_Analise!R36),"00"))&amp;" (horário exigido não cumprido).",IF(2_Analise!P36&lt;&gt;"","CONFERIR: "&amp;2_Analise!P36&amp;". Complete a aba 1.",IF(2_Analise!R36&gt;0,"DESCONTO PROVÁVEL de "&amp;IF(MINUTE(2_Analise!R36)=0,HOUR(2_Analise!R36)&amp;"h",HOUR(2_Analise!R36)&amp;"h"&amp;TEXT(MINUTE(2_Analise!R36),"00"))&amp;": exigido "&amp;IF(MINUTE(2_Analise!K36)=0,HOUR(2_Analise!K36)&amp;"h",HOUR(2_Analise!K36)&amp;"h"&amp;TEXT(MINUTE(2_Analise!K36),"00"))&amp;", cumprido "&amp;IF(MINUTE(2_Analise!O36)=0,HOUR(2_Analise!O36)&amp;"h",HOUR(2_Analise!O36)&amp;"h"&amp;TEXT(MINUTE(2_Analise!O36),"00"))&amp;".",IF(2_Analise!X36&gt;0,IF(2_Analise!S36&gt;0,"EXTRA "&amp;IF(MINUTE(2_Analise!S36)=0,HOUR(2_Analise!S36)&amp;"h",HOUR(2_Analise!S36)&amp;"h"&amp;TEXT(MINUTE(2_Analise!S36),"00"))&amp;" e COMPENSAÇÃO DE "&amp;IF(MINUTE(2_Analise!X36)=0,HOUR(2_Analise!X36)&amp;"h",HOUR(2_Analise!X36)&amp;"h"&amp;TEXT(MINUTE(2_Analise!X36),"00"))&amp;" (horas excedentes de outros dias).","COMPENSAÇÃO DE "&amp;IF(MINUTE(2_Analise!X36)=0,HOUR(2_Analise!X36)&amp;"h",HOUR(2_Analise!X36)&amp;"h"&amp;TEXT(MINUTE(2_Analise!X36),"00"))&amp;": horas extras excedentes de outros dias, lançadas neste dia para respeitar o limite diário."),IF(AND(2_Analise!S36&gt;0,2_Analise!T36&gt;0),TEXT(A39,"dd/mm")&amp;": extras de "&amp;IF(MINUTE(2_Analise!Q36)=0,HOUR(2_Analise!Q36)&amp;"h",HOUR(2_Analise!Q36)&amp;"h"&amp;TEXT(MINUTE(2_Analise!Q36),"00"))&amp;". Lançadas "&amp;IF(MINUTE(2_Analise!S36)=0,HOUR(2_Analise!S36)&amp;"h",HOUR(2_Analise!S36)&amp;"h"&amp;TEXT(MINUTE(2_Analise!S36),"00"))&amp;" no dia (limite de "&amp;IF(MINUTE(Parametros!$B$19)=0,HOUR(Parametros!$B$19)&amp;"h",HOUR(Parametros!$B$19)&amp;"h"&amp;TEXT(MINUTE(Parametros!$B$19),"00"))&amp;") e "&amp;IF(MINUTE(2_Analise!T36)=0,HOUR(2_Analise!T36)&amp;"h",HOUR(2_Analise!T36)&amp;"h"&amp;TEXT(MINUTE(2_Analise!T36),"00"))&amp;" a compensar em outros dias.",IF(2_Analise!T36&gt;0,TEXT(A39,"dd/mm")&amp;": funcionária permaneceu em atividade até "&amp;IF(MINUTE(2_Analise!N36)=0,HOUR(2_Analise!N36)&amp;"h",HOUR(2_Analise!N36)&amp;"h"&amp;TEXT(MINUTE(2_Analise!N36),"00"))&amp;" por necessidade do serviço"&amp;IF(2_Analise!D36&lt;&gt;"",". Diretoria liberou os demais colaboradores às "&amp;IF(MINUTE(2_Analise!D36)=0,HOUR(2_Analise!D36)&amp;"h",HOUR(2_Analise!D36)&amp;"h"&amp;TEXT(MINUTE(2_Analise!D36),"00")),"")&amp;". Extras: "&amp;IF(MINUTE(2_Analise!T36)=0,HOUR(2_Analise!T36)&amp;"h",HOUR(2_Analise!T36)&amp;"h"&amp;TEXT(MINUTE(2_Analise!T36),"00"))&amp;" redistribuídas para compensação em outros dias.",IF(2_Analise!S36&gt;0,"EXTRA "&amp;IF(MINUTE(2_Analise!S36)=0,HOUR(2_Analise!S36)&amp;"h",HOUR(2_Analise!S36)&amp;"h"&amp;TEXT(MINUTE(2_Analise!S36),"00")),IF(2_Analise!F36="PREVISTO","Dia previsto: expediente normal, sem extras.","NORMAL: horário cumprido.")))))))))))</f>
        <v>FOLGA</v>
      </c>
    </row>
    <row r="40" customFormat="false" ht="31.5" hidden="false" customHeight="true" outlineLevel="0" collapsed="false">
      <c r="A40" s="16" t="n">
        <f aca="false">2_Analise!A37</f>
        <v>46356</v>
      </c>
      <c r="B40" s="17" t="str">
        <f aca="false">2_Analise!B37</f>
        <v>Segunda-feira</v>
      </c>
      <c r="C40" s="28" t="n">
        <f aca="false">IF(OR(2_Analise!F37="TRABALHO",2_Analise!F37="PREVISTO"),IF(2_Analise!R37&gt;0,2_Analise!L37,2_Analise!G37),"")</f>
        <v>0.333333333333333</v>
      </c>
      <c r="D40" s="28" t="n">
        <f aca="false">IF(C40="","",IF(F40&gt;2_Analise!H37,2_Analise!H37,""))</f>
        <v>0.5</v>
      </c>
      <c r="E40" s="28" t="n">
        <f aca="false">IF(D40="","",2_Analise!I37)</f>
        <v>0.541666666666667</v>
      </c>
      <c r="F40" s="28" t="n">
        <f aca="false">IF(C40="","",IF(2_Analise!R37&gt;0,2_Analise!N37,2_Analise!J37))</f>
        <v>0.708333333333333</v>
      </c>
      <c r="G40" s="28" t="str">
        <f aca="false">IF(N(2_Analise!Y37)&gt;0,2_Analise!J37,"")</f>
        <v/>
      </c>
      <c r="H40" s="28" t="str">
        <f aca="false">IF(G40="","",ROUND((2_Analise!J37+2_Analise!Y37)*1440,0)/1440)</f>
        <v/>
      </c>
      <c r="I40" s="33" t="n">
        <f aca="false">IF(C40="","",ROUND((IF(H40&lt;&gt;"",H40,F40)-C40-IF(D40&lt;&gt;"",E40-D40,0))*1440,0)/1440)</f>
        <v>0.333333333333333</v>
      </c>
      <c r="J40" s="33" t="str">
        <f aca="false">IF(N(2_Analise!Y37)&gt;0,2_Analise!Y37,"")</f>
        <v/>
      </c>
      <c r="K40" s="17" t="str">
        <f aca="false">IF(2_Analise!F37="","",IF(2_Analise!F37="FOLGA","FOLGA",IF(2_Analise!F37="FERIADO","FERIADO",IF(2_Analise!F37="FALTA","FALTA",IF(2_Analise!X37&gt;0,IF(2_Analise!S37&gt;0,"EXTRA + COMPENSAÇÃO","COMPENSAÇÃO"),IF(2_Analise!S37&gt;0,"EXTRA",IF(2_Analise!T37&gt;0,"EXTRA A COMPENSAR",IF(2_Analise!R37&gt;0,"DESCONTO PROVÁVEL",IF(2_Analise!F37="PREVISTO","PREVISTO","NORMAL")))))))))</f>
        <v>PREVISTO</v>
      </c>
      <c r="L40" s="34"/>
      <c r="M40" s="34"/>
      <c r="N40" s="31" t="str">
        <f aca="false">IF(2_Analise!F37="","",IF(2_Analise!F37="FOLGA","FOLGA",IF(2_Analise!F37="FERIADO","FERIADO"&amp;IFERROR(" – "&amp;INDEX(Parametros!$B$35:$B$50,MATCH(A40,Parametros!$A$35:$A$50,0)),""),IF(2_Analise!F37="FALTA","FALTA: desconto de "&amp;IF(MINUTE(2_Analise!R37)=0,HOUR(2_Analise!R37)&amp;"h",HOUR(2_Analise!R37)&amp;"h"&amp;TEXT(MINUTE(2_Analise!R37),"00"))&amp;" (horário exigido não cumprido).",IF(2_Analise!P37&lt;&gt;"","CONFERIR: "&amp;2_Analise!P37&amp;". Complete a aba 1.",IF(2_Analise!R37&gt;0,"DESCONTO PROVÁVEL de "&amp;IF(MINUTE(2_Analise!R37)=0,HOUR(2_Analise!R37)&amp;"h",HOUR(2_Analise!R37)&amp;"h"&amp;TEXT(MINUTE(2_Analise!R37),"00"))&amp;": exigido "&amp;IF(MINUTE(2_Analise!K37)=0,HOUR(2_Analise!K37)&amp;"h",HOUR(2_Analise!K37)&amp;"h"&amp;TEXT(MINUTE(2_Analise!K37),"00"))&amp;", cumprido "&amp;IF(MINUTE(2_Analise!O37)=0,HOUR(2_Analise!O37)&amp;"h",HOUR(2_Analise!O37)&amp;"h"&amp;TEXT(MINUTE(2_Analise!O37),"00"))&amp;".",IF(2_Analise!X37&gt;0,IF(2_Analise!S37&gt;0,"EXTRA "&amp;IF(MINUTE(2_Analise!S37)=0,HOUR(2_Analise!S37)&amp;"h",HOUR(2_Analise!S37)&amp;"h"&amp;TEXT(MINUTE(2_Analise!S37),"00"))&amp;" e COMPENSAÇÃO DE "&amp;IF(MINUTE(2_Analise!X37)=0,HOUR(2_Analise!X37)&amp;"h",HOUR(2_Analise!X37)&amp;"h"&amp;TEXT(MINUTE(2_Analise!X37),"00"))&amp;" (horas excedentes de outros dias).","COMPENSAÇÃO DE "&amp;IF(MINUTE(2_Analise!X37)=0,HOUR(2_Analise!X37)&amp;"h",HOUR(2_Analise!X37)&amp;"h"&amp;TEXT(MINUTE(2_Analise!X37),"00"))&amp;": horas extras excedentes de outros dias, lançadas neste dia para respeitar o limite diário."),IF(AND(2_Analise!S37&gt;0,2_Analise!T37&gt;0),TEXT(A40,"dd/mm")&amp;": extras de "&amp;IF(MINUTE(2_Analise!Q37)=0,HOUR(2_Analise!Q37)&amp;"h",HOUR(2_Analise!Q37)&amp;"h"&amp;TEXT(MINUTE(2_Analise!Q37),"00"))&amp;". Lançadas "&amp;IF(MINUTE(2_Analise!S37)=0,HOUR(2_Analise!S37)&amp;"h",HOUR(2_Analise!S37)&amp;"h"&amp;TEXT(MINUTE(2_Analise!S37),"00"))&amp;" no dia (limite de "&amp;IF(MINUTE(Parametros!$B$19)=0,HOUR(Parametros!$B$19)&amp;"h",HOUR(Parametros!$B$19)&amp;"h"&amp;TEXT(MINUTE(Parametros!$B$19),"00"))&amp;") e "&amp;IF(MINUTE(2_Analise!T37)=0,HOUR(2_Analise!T37)&amp;"h",HOUR(2_Analise!T37)&amp;"h"&amp;TEXT(MINUTE(2_Analise!T37),"00"))&amp;" a compensar em outros dias.",IF(2_Analise!T37&gt;0,TEXT(A40,"dd/mm")&amp;": funcionária permaneceu em atividade até "&amp;IF(MINUTE(2_Analise!N37)=0,HOUR(2_Analise!N37)&amp;"h",HOUR(2_Analise!N37)&amp;"h"&amp;TEXT(MINUTE(2_Analise!N37),"00"))&amp;" por necessidade do serviço"&amp;IF(2_Analise!D37&lt;&gt;"",". Diretoria liberou os demais colaboradores às "&amp;IF(MINUTE(2_Analise!D37)=0,HOUR(2_Analise!D37)&amp;"h",HOUR(2_Analise!D37)&amp;"h"&amp;TEXT(MINUTE(2_Analise!D37),"00")),"")&amp;". Extras: "&amp;IF(MINUTE(2_Analise!T37)=0,HOUR(2_Analise!T37)&amp;"h",HOUR(2_Analise!T37)&amp;"h"&amp;TEXT(MINUTE(2_Analise!T37),"00"))&amp;" redistribuídas para compensação em outros dias.",IF(2_Analise!S37&gt;0,"EXTRA "&amp;IF(MINUTE(2_Analise!S37)=0,HOUR(2_Analise!S37)&amp;"h",HOUR(2_Analise!S37)&amp;"h"&amp;TEXT(MINUTE(2_Analise!S37),"00")),IF(2_Analise!F37="PREVISTO","Dia previsto: expediente normal, sem extras.","NORMAL: horário cumprido.")))))))))))</f>
        <v>Dia previsto: expediente normal, sem extras.</v>
      </c>
    </row>
    <row r="41" customFormat="false" ht="31.5" hidden="false" customHeight="true" outlineLevel="0" collapsed="false">
      <c r="A41" s="16" t="str">
        <f aca="false">2_Analise!A38</f>
        <v/>
      </c>
      <c r="B41" s="17" t="str">
        <f aca="false">2_Analise!B38</f>
        <v/>
      </c>
      <c r="C41" s="28" t="str">
        <f aca="false">IF(OR(2_Analise!F38="TRABALHO",2_Analise!F38="PREVISTO"),IF(2_Analise!R38&gt;0,2_Analise!L38,2_Analise!G38),"")</f>
        <v/>
      </c>
      <c r="D41" s="28" t="str">
        <f aca="false">IF(C41="","",IF(F41&gt;2_Analise!H38,2_Analise!H38,""))</f>
        <v/>
      </c>
      <c r="E41" s="28" t="str">
        <f aca="false">IF(D41="","",2_Analise!I38)</f>
        <v/>
      </c>
      <c r="F41" s="28" t="str">
        <f aca="false">IF(C41="","",IF(2_Analise!R38&gt;0,2_Analise!N38,2_Analise!J38))</f>
        <v/>
      </c>
      <c r="G41" s="28" t="str">
        <f aca="false">IF(N(2_Analise!Y38)&gt;0,2_Analise!J38,"")</f>
        <v/>
      </c>
      <c r="H41" s="28" t="str">
        <f aca="false">IF(G41="","",ROUND((2_Analise!J38+2_Analise!Y38)*1440,0)/1440)</f>
        <v/>
      </c>
      <c r="I41" s="33" t="str">
        <f aca="false">IF(C41="","",ROUND((IF(H41&lt;&gt;"",H41,F41)-C41-IF(D41&lt;&gt;"",E41-D41,0))*1440,0)/1440)</f>
        <v/>
      </c>
      <c r="J41" s="33" t="str">
        <f aca="false">IF(N(2_Analise!Y38)&gt;0,2_Analise!Y38,"")</f>
        <v/>
      </c>
      <c r="K41" s="17" t="str">
        <f aca="false">IF(2_Analise!F38="","",IF(2_Analise!F38="FOLGA","FOLGA",IF(2_Analise!F38="FERIADO","FERIADO",IF(2_Analise!F38="FALTA","FALTA",IF(2_Analise!X38&gt;0,IF(2_Analise!S38&gt;0,"EXTRA + COMPENSAÇÃO","COMPENSAÇÃO"),IF(2_Analise!S38&gt;0,"EXTRA",IF(2_Analise!T38&gt;0,"EXTRA A COMPENSAR",IF(2_Analise!R38&gt;0,"DESCONTO PROVÁVEL",IF(2_Analise!F38="PREVISTO","PREVISTO","NORMAL")))))))))</f>
        <v/>
      </c>
      <c r="L41" s="34"/>
      <c r="M41" s="34"/>
      <c r="N41" s="31" t="str">
        <f aca="false">IF(2_Analise!F38="","",IF(2_Analise!F38="FOLGA","FOLGA",IF(2_Analise!F38="FERIADO","FERIADO"&amp;IFERROR(" – "&amp;INDEX(Parametros!$B$35:$B$50,MATCH(A41,Parametros!$A$35:$A$50,0)),""),IF(2_Analise!F38="FALTA","FALTA: desconto de "&amp;IF(MINUTE(2_Analise!R38)=0,HOUR(2_Analise!R38)&amp;"h",HOUR(2_Analise!R38)&amp;"h"&amp;TEXT(MINUTE(2_Analise!R38),"00"))&amp;" (horário exigido não cumprido).",IF(2_Analise!P38&lt;&gt;"","CONFERIR: "&amp;2_Analise!P38&amp;". Complete a aba 1.",IF(2_Analise!R38&gt;0,"DESCONTO PROVÁVEL de "&amp;IF(MINUTE(2_Analise!R38)=0,HOUR(2_Analise!R38)&amp;"h",HOUR(2_Analise!R38)&amp;"h"&amp;TEXT(MINUTE(2_Analise!R38),"00"))&amp;": exigido "&amp;IF(MINUTE(2_Analise!K38)=0,HOUR(2_Analise!K38)&amp;"h",HOUR(2_Analise!K38)&amp;"h"&amp;TEXT(MINUTE(2_Analise!K38),"00"))&amp;", cumprido "&amp;IF(MINUTE(2_Analise!O38)=0,HOUR(2_Analise!O38)&amp;"h",HOUR(2_Analise!O38)&amp;"h"&amp;TEXT(MINUTE(2_Analise!O38),"00"))&amp;".",IF(2_Analise!X38&gt;0,IF(2_Analise!S38&gt;0,"EXTRA "&amp;IF(MINUTE(2_Analise!S38)=0,HOUR(2_Analise!S38)&amp;"h",HOUR(2_Analise!S38)&amp;"h"&amp;TEXT(MINUTE(2_Analise!S38),"00"))&amp;" e COMPENSAÇÃO DE "&amp;IF(MINUTE(2_Analise!X38)=0,HOUR(2_Analise!X38)&amp;"h",HOUR(2_Analise!X38)&amp;"h"&amp;TEXT(MINUTE(2_Analise!X38),"00"))&amp;" (horas excedentes de outros dias).","COMPENSAÇÃO DE "&amp;IF(MINUTE(2_Analise!X38)=0,HOUR(2_Analise!X38)&amp;"h",HOUR(2_Analise!X38)&amp;"h"&amp;TEXT(MINUTE(2_Analise!X38),"00"))&amp;": horas extras excedentes de outros dias, lançadas neste dia para respeitar o limite diário."),IF(AND(2_Analise!S38&gt;0,2_Analise!T38&gt;0),TEXT(A41,"dd/mm")&amp;": extras de "&amp;IF(MINUTE(2_Analise!Q38)=0,HOUR(2_Analise!Q38)&amp;"h",HOUR(2_Analise!Q38)&amp;"h"&amp;TEXT(MINUTE(2_Analise!Q38),"00"))&amp;". Lançadas "&amp;IF(MINUTE(2_Analise!S38)=0,HOUR(2_Analise!S38)&amp;"h",HOUR(2_Analise!S38)&amp;"h"&amp;TEXT(MINUTE(2_Analise!S38),"00"))&amp;" no dia (limite de "&amp;IF(MINUTE(Parametros!$B$19)=0,HOUR(Parametros!$B$19)&amp;"h",HOUR(Parametros!$B$19)&amp;"h"&amp;TEXT(MINUTE(Parametros!$B$19),"00"))&amp;") e "&amp;IF(MINUTE(2_Analise!T38)=0,HOUR(2_Analise!T38)&amp;"h",HOUR(2_Analise!T38)&amp;"h"&amp;TEXT(MINUTE(2_Analise!T38),"00"))&amp;" a compensar em outros dias.",IF(2_Analise!T38&gt;0,TEXT(A41,"dd/mm")&amp;": funcionária permaneceu em atividade até "&amp;IF(MINUTE(2_Analise!N38)=0,HOUR(2_Analise!N38)&amp;"h",HOUR(2_Analise!N38)&amp;"h"&amp;TEXT(MINUTE(2_Analise!N38),"00"))&amp;" por necessidade do serviço"&amp;IF(2_Analise!D38&lt;&gt;"",". Diretoria liberou os demais colaboradores às "&amp;IF(MINUTE(2_Analise!D38)=0,HOUR(2_Analise!D38)&amp;"h",HOUR(2_Analise!D38)&amp;"h"&amp;TEXT(MINUTE(2_Analise!D38),"00")),"")&amp;". Extras: "&amp;IF(MINUTE(2_Analise!T38)=0,HOUR(2_Analise!T38)&amp;"h",HOUR(2_Analise!T38)&amp;"h"&amp;TEXT(MINUTE(2_Analise!T38),"00"))&amp;" redistribuídas para compensação em outros dias.",IF(2_Analise!S38&gt;0,"EXTRA "&amp;IF(MINUTE(2_Analise!S38)=0,HOUR(2_Analise!S38)&amp;"h",HOUR(2_Analise!S38)&amp;"h"&amp;TEXT(MINUTE(2_Analise!S38),"00")),IF(2_Analise!F38="PREVISTO","Dia previsto: expediente normal, sem extras.","NORMAL: horário cumprido.")))))))))))</f>
        <v/>
      </c>
    </row>
    <row r="42" customFormat="false" ht="28.35" hidden="false" customHeight="true" outlineLevel="0" collapsed="false">
      <c r="A42" s="5" t="s">
        <v>135</v>
      </c>
      <c r="B42" s="5"/>
      <c r="C42" s="5"/>
      <c r="D42" s="5"/>
      <c r="E42" s="5"/>
      <c r="F42" s="5"/>
      <c r="G42" s="5"/>
      <c r="H42" s="5"/>
      <c r="I42" s="29" t="n">
        <f aca="false">SUM(I11:I41)</f>
        <v>6.33333333333333</v>
      </c>
      <c r="J42" s="29" t="n">
        <f aca="false">SUM(J11:J41)</f>
        <v>0</v>
      </c>
      <c r="K42" s="30"/>
      <c r="N42" s="6" t="str">
        <f aca="false">"Extras na folha ajustada: "&amp;TEXT(J42,"[h]:mm")&amp;"h  |  extras reais: "&amp;TEXT(2_Analise!Q39,"[h]:mm")&amp;"h  |  saldo a compensar no mês seguinte: "&amp;TEXT(ROUND((2_Analise!T39-2_Analise!X39)*1440,0)/1440,"[h]:mm")&amp;"h  |  descontos prováveis: "&amp;TEXT(2_Analise!R39,"[h]:mm")&amp;"h"</f>
        <v>Extras na folha ajustada: 0:00h  |  extras reais: 0:00h  |  saldo a compensar no mês seguinte: 0:00h  |  descontos prováveis: 0:00h</v>
      </c>
    </row>
    <row r="44" customFormat="false" ht="15" hidden="false" customHeight="false" outlineLevel="0" collapsed="false">
      <c r="A44" s="35" t="s">
        <v>152</v>
      </c>
      <c r="B44" s="35"/>
      <c r="C44" s="35"/>
      <c r="D44" s="35"/>
      <c r="E44" s="35"/>
      <c r="G44" s="35" t="s">
        <v>152</v>
      </c>
      <c r="H44" s="35"/>
      <c r="I44" s="35"/>
      <c r="J44" s="35"/>
      <c r="K44" s="35"/>
    </row>
    <row r="45" customFormat="false" ht="15" hidden="false" customHeight="true" outlineLevel="0" collapsed="false">
      <c r="A45" s="36" t="s">
        <v>153</v>
      </c>
      <c r="B45" s="36"/>
      <c r="C45" s="36"/>
      <c r="D45" s="36"/>
      <c r="E45" s="36"/>
      <c r="G45" s="36" t="s">
        <v>154</v>
      </c>
      <c r="H45" s="36"/>
      <c r="I45" s="36"/>
      <c r="J45" s="36"/>
      <c r="K45" s="36"/>
    </row>
  </sheetData>
  <mergeCells count="29">
    <mergeCell ref="A1:N1"/>
    <mergeCell ref="A3:H3"/>
    <mergeCell ref="I3:N3"/>
    <mergeCell ref="A4:H4"/>
    <mergeCell ref="I4:N4"/>
    <mergeCell ref="A5:H5"/>
    <mergeCell ref="I5:N5"/>
    <mergeCell ref="A6:H6"/>
    <mergeCell ref="I6:N6"/>
    <mergeCell ref="A7:D7"/>
    <mergeCell ref="E7:H7"/>
    <mergeCell ref="I7:N7"/>
    <mergeCell ref="A9:A10"/>
    <mergeCell ref="B9:B10"/>
    <mergeCell ref="C9:C10"/>
    <mergeCell ref="D9:E9"/>
    <mergeCell ref="F9:F10"/>
    <mergeCell ref="G9:H9"/>
    <mergeCell ref="I9:I10"/>
    <mergeCell ref="J9:J10"/>
    <mergeCell ref="K9:K10"/>
    <mergeCell ref="L9:L10"/>
    <mergeCell ref="M9:M10"/>
    <mergeCell ref="N9:N10"/>
    <mergeCell ref="A42:H42"/>
    <mergeCell ref="A44:E44"/>
    <mergeCell ref="G44:K44"/>
    <mergeCell ref="A45:E45"/>
    <mergeCell ref="G45:K45"/>
  </mergeCells>
  <conditionalFormatting sqref="A11:B41">
    <cfRule type="expression" priority="2" aboveAverage="0" equalAverage="0" bottom="0" percent="0" rank="0" text="" dxfId="0">
      <formula>AND($A11&lt;&gt;"",WEEKDAY($A11,2)&gt;=6)</formula>
    </cfRule>
  </conditionalFormatting>
  <conditionalFormatting sqref="K11:K41">
    <cfRule type="expression" priority="3" aboveAverage="0" equalAverage="0" bottom="0" percent="0" rank="0" text="" dxfId="0">
      <formula>OR($K11="FOLGA",$K11="FERIADO",$K11="FALTA")</formula>
    </cfRule>
    <cfRule type="expression" priority="4" aboveAverage="0" equalAverage="0" bottom="0" percent="0" rank="0" text="" dxfId="7">
      <formula>LEFT($K11,5)="EXTRA"</formula>
    </cfRule>
    <cfRule type="expression" priority="5" aboveAverage="0" equalAverage="0" bottom="0" percent="0" rank="0" text="" dxfId="8">
      <formula>LEFT($K11,5)="COMPE"</formula>
    </cfRule>
    <cfRule type="expression" priority="6" aboveAverage="0" equalAverage="0" bottom="0" percent="0" rank="0" text="" dxfId="9">
      <formula>$K11="DESCONTO PROVÁVEL"</formula>
    </cfRule>
  </conditionalFormatting>
  <conditionalFormatting sqref="A11:N41">
    <cfRule type="expression" priority="7" aboveAverage="0" equalAverage="0" bottom="0" percent="0" rank="0" text="" dxfId="10">
      <formula>OR($K11="COMPENSAÇÃO",$K11="EXTRA + COMPENSAÇÃO")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2026-10-14T19:16:43Z</dcterms:created>
  <dc:creator>openpyxl</dc:creator>
  <dc:description/>
  <dc:language>en-US</dc:language>
  <cp:lastModifiedBy/>
  <dcterms:modified xsi:type="dcterms:W3CDTF">2026-10-14T19:16:43Z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